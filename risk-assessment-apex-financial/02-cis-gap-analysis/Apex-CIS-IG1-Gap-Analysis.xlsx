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Gap Assessment" sheetId="2" r:id="rId6"/>
    <sheet state="visible" name="Control Summary" sheetId="3" r:id="rId7"/>
    <sheet state="visible" name="Roadmap" sheetId="4" r:id="rId8"/>
  </sheets>
  <definedNames>
    <definedName hidden="1" localSheetId="1" name="_xlnm._FilterDatabase">'Gap Assessment'!$A$1:$K$57</definedName>
  </definedNames>
  <calcPr/>
</workbook>
</file>

<file path=xl/sharedStrings.xml><?xml version="1.0" encoding="utf-8"?>
<sst xmlns="http://schemas.openxmlformats.org/spreadsheetml/2006/main" count="721" uniqueCount="357">
  <si>
    <t>CIS Controls IG1 Gap Analysis: Apex Financial Partners (Fictional Firm)</t>
  </si>
  <si>
    <t>Phase</t>
  </si>
  <si>
    <t>CIS Control</t>
  </si>
  <si>
    <t>Safeguard</t>
  </si>
  <si>
    <t>Action</t>
  </si>
  <si>
    <t>Linked Risk</t>
  </si>
  <si>
    <t>Owner</t>
  </si>
  <si>
    <t>Effort</t>
  </si>
  <si>
    <t>0-30 days</t>
  </si>
  <si>
    <t>Firm</t>
  </si>
  <si>
    <t>Apex Financial Partners: 30-person financial advisory and accounting firm (same firm as the risk register)</t>
  </si>
  <si>
    <t>6.3, 6.4</t>
  </si>
  <si>
    <t>Turn on app-based MFA for the client portal, email, banking, domain registrar, and VPN</t>
  </si>
  <si>
    <t>R-03, R-04, R-09, R-10, R-14</t>
  </si>
  <si>
    <t>Framework</t>
  </si>
  <si>
    <t>Office manager + IT provider</t>
  </si>
  <si>
    <t>CIS Critical Security Controls v8.1, Implementation Group 1 (IG1): 56 safeguards</t>
  </si>
  <si>
    <t>Low</t>
  </si>
  <si>
    <t>Safeguard Title</t>
  </si>
  <si>
    <t>Why IG1</t>
  </si>
  <si>
    <t>5.3, 6.2</t>
  </si>
  <si>
    <t>Security Function</t>
  </si>
  <si>
    <t>Disable all former staff accounts and key fobs; create an offboarding checklist</t>
  </si>
  <si>
    <t>IG1 is CIS's 'essential cyber hygiene' baseline for small firms with limited IT and security staff, which fits Apex.</t>
  </si>
  <si>
    <t>R-01, R-13</t>
  </si>
  <si>
    <t>Builds on</t>
  </si>
  <si>
    <t>Office manager</t>
  </si>
  <si>
    <t>Apex Current State</t>
  </si>
  <si>
    <t>Apex risk register (Project 1). The Linked Risk column ties each gap back to a risk ID.</t>
  </si>
  <si>
    <t>IG1 Safeguards</t>
  </si>
  <si>
    <t>Status</t>
  </si>
  <si>
    <t>Scored</t>
  </si>
  <si>
    <t>Method</t>
  </si>
  <si>
    <t>Score</t>
  </si>
  <si>
    <t>Implemented</t>
  </si>
  <si>
    <t>State Source</t>
  </si>
  <si>
    <t>1. Listed all 56 IG1 safeguards</t>
  </si>
  <si>
    <t>Partial</t>
  </si>
  <si>
    <t>11.1, 11.3, 11.4</t>
  </si>
  <si>
    <t>Priority</t>
  </si>
  <si>
    <t>Add an offline backup copy, run a test restore, and document the recovery steps</t>
  </si>
  <si>
    <t>R-08</t>
  </si>
  <si>
    <t>Notes</t>
  </si>
  <si>
    <t>Not Implemented</t>
  </si>
  <si>
    <t>2. Described Apex's current state for each, using the risk register where it applies</t>
  </si>
  <si>
    <t>IT provider</t>
  </si>
  <si>
    <t>Medium</t>
  </si>
  <si>
    <t>3. Scored each safeguard: Implemented / Partial / Not Implemented</t>
  </si>
  <si>
    <t>Coverage</t>
  </si>
  <si>
    <t>1.1</t>
  </si>
  <si>
    <t>4. Calculated coverage per control and overall</t>
  </si>
  <si>
    <t>12.1, 7.3</t>
  </si>
  <si>
    <t>Update the VPN gateway firmware and confirm laptops are on current OS updates</t>
  </si>
  <si>
    <t>R-09</t>
  </si>
  <si>
    <t>5. Prioritized gaps and built a 30/60/90-day remediation roadmap</t>
  </si>
  <si>
    <t>14.1, 14.2</t>
  </si>
  <si>
    <t>Start a security awareness program, beginning with phishing training</t>
  </si>
  <si>
    <t>R-04</t>
  </si>
  <si>
    <t>1. Inventory and Control of Enterprise Assets</t>
  </si>
  <si>
    <t>Scoring</t>
  </si>
  <si>
    <t>Managing partner</t>
  </si>
  <si>
    <t>Implemented = 1</t>
  </si>
  <si>
    <t>17.1</t>
  </si>
  <si>
    <t>Safeguard is in place and covers the whole firm</t>
  </si>
  <si>
    <t>Name one person to lead incident response (Medium priority, included because it costs almost nothing)</t>
  </si>
  <si>
    <t>Partial = 0.5</t>
  </si>
  <si>
    <t>Some of it is in place, or it covers only part of the firm</t>
  </si>
  <si>
    <t>Not Implemented = 0</t>
  </si>
  <si>
    <t>31-60 days</t>
  </si>
  <si>
    <t>Establish and Maintain Detailed Enterprise Asset Inventory</t>
  </si>
  <si>
    <t>5.1, 5.2</t>
  </si>
  <si>
    <t>Not in place</t>
  </si>
  <si>
    <t>Build an account inventory; roll out a password manager and end shared logins and browser-saved passwords</t>
  </si>
  <si>
    <t>Identify</t>
  </si>
  <si>
    <t>R-01, R-11, R-14</t>
  </si>
  <si>
    <t>No formal asset inventory. Laptops and phones are tracked informally by the office manager.</t>
  </si>
  <si>
    <t>3.6</t>
  </si>
  <si>
    <t>Turn on full-disk encryption on all laptops and phones</t>
  </si>
  <si>
    <t>R-06</t>
  </si>
  <si>
    <t>High if the linked risk is Critical or High, Medium if Medium, Low if none. Rows raised above this rule explain why in Notes.</t>
  </si>
  <si>
    <t>7.1, 7.2</t>
  </si>
  <si>
    <t>Write a vulnerability management process with patch timelines by severity</t>
  </si>
  <si>
    <t>Summary (updates automatically)</t>
  </si>
  <si>
    <t>4.2, 4.4, 4.6</t>
  </si>
  <si>
    <t>Set a secure configuration standard for network devices, secure the VPN admin interface, and review server firewall rules</t>
  </si>
  <si>
    <t>R-08, R-09</t>
  </si>
  <si>
    <t>Safeguards in scope</t>
  </si>
  <si>
    <t>15.1</t>
  </si>
  <si>
    <t>List all service providers and API integrations, with an owner for each</t>
  </si>
  <si>
    <t>R-11</t>
  </si>
  <si>
    <t>61-90 days</t>
  </si>
  <si>
    <t>3.1, 3.2, 3.3</t>
  </si>
  <si>
    <t>Map where client data lives, write a data management process, and limit access by role</t>
  </si>
  <si>
    <t>R-01, R-02</t>
  </si>
  <si>
    <t>Managing partner + IT provider</t>
  </si>
  <si>
    <t>High</t>
  </si>
  <si>
    <t>2.2</t>
  </si>
  <si>
    <t>Track whether each software tool is still vendor-supported; plan replacements</t>
  </si>
  <si>
    <t>14.4, 14.5, 14.8</t>
  </si>
  <si>
    <t>Train staff on data handling, accidental exposure, and public Wi-Fi</t>
  </si>
  <si>
    <t>R-04, R-06, R-15</t>
  </si>
  <si>
    <t>Covers all 27 High-priority safeguards, plus 17.1. Medium and Low gaps come after this 90-day plan.</t>
  </si>
  <si>
    <t>Owners are assumptions: Apex has no IT staff, so technical work is assigned to an outside IT provider.</t>
  </si>
  <si>
    <t>Effort: Low = days and little or no cost; Medium = weeks or a new tool; High = a firm-wide process change.</t>
  </si>
  <si>
    <t>Safeguards scored</t>
  </si>
  <si>
    <t>None</t>
  </si>
  <si>
    <t>New assumption</t>
  </si>
  <si>
    <t>Informal tracking exists, but nothing documented or reviewed. Raised to Medium because every other control depends on knowing what assets exist.</t>
  </si>
  <si>
    <t>1.2</t>
  </si>
  <si>
    <t>Address Unauthorized Assets</t>
  </si>
  <si>
    <t>Respond</t>
  </si>
  <si>
    <t>No process to find or remove unknown devices on the network.</t>
  </si>
  <si>
    <t>Overall IG1 coverage (scored safeguards)</t>
  </si>
  <si>
    <t>No process exists; no linked risk.</t>
  </si>
  <si>
    <t>2.1</t>
  </si>
  <si>
    <t>2. Inventory and Control of Software Assets</t>
  </si>
  <si>
    <t>Establish and Maintain a Software Inventory</t>
  </si>
  <si>
    <t>No maintained software inventory. Core SaaS tools (CRM, accounting, billing, client portal) are known but not documented.</t>
  </si>
  <si>
    <t>Tools are known but nothing is documented, so it doesn't count as an inventory.</t>
  </si>
  <si>
    <t>Ensure Authorized Software is Currently Supported</t>
  </si>
  <si>
    <t>Software support status is not tracked. VPN gateway is rarely updated.</t>
  </si>
  <si>
    <t>Risk register</t>
  </si>
  <si>
    <t>Support status isn't tracked; ties to the outdated VPN (R-09, High).</t>
  </si>
  <si>
    <t>Fictional firm. All current states and scores are my own judgments for a hypothetical organization. No systems were tested or scanned.</t>
  </si>
  <si>
    <t>2.3</t>
  </si>
  <si>
    <t>Address Unauthorized Software</t>
  </si>
  <si>
    <t>Safeguard IDs and titles: CIS Critical Security Controls v8.1, Center for Internet Security, licensed CC BY-NC-ND 4.0.</t>
  </si>
  <si>
    <t>No process to detect or remove unauthorized software; staff can install their own apps.</t>
  </si>
  <si>
    <t>No process; staff can install apps freely.</t>
  </si>
  <si>
    <t>3.1</t>
  </si>
  <si>
    <t>3. Data Protection</t>
  </si>
  <si>
    <t>Establish and Maintain a Data Management Process</t>
  </si>
  <si>
    <t>Govern</t>
  </si>
  <si>
    <t>No documented data management process. Client data is stored in several places.</t>
  </si>
  <si>
    <t>R-02</t>
  </si>
  <si>
    <t>No process; client data sprawl drives R-02 (High).</t>
  </si>
  <si>
    <t>3.2</t>
  </si>
  <si>
    <t>Establish and Maintain a Data Inventory</t>
  </si>
  <si>
    <t>No data inventory; the firm cannot say everywhere client data lives.</t>
  </si>
  <si>
    <t>Can't protect data you can't locate (R-02).</t>
  </si>
  <si>
    <t>3.3</t>
  </si>
  <si>
    <t>Configure Data Access Control Lists</t>
  </si>
  <si>
    <t>Protect</t>
  </si>
  <si>
    <t>No clear access limits on client data. Shared logins are in use.</t>
  </si>
  <si>
    <t>Shared logins and no access limits (R-01, R-02).</t>
  </si>
  <si>
    <t>3.4</t>
  </si>
  <si>
    <t>Enforce Data Retention</t>
  </si>
  <si>
    <t>No defined retention periods for client or paper records.</t>
  </si>
  <si>
    <t>R-15</t>
  </si>
  <si>
    <t>No retention periods; ties to R-15 (Medium).</t>
  </si>
  <si>
    <t>3.5</t>
  </si>
  <si>
    <t>Securely Dispose of Data</t>
  </si>
  <si>
    <t>Shredding bins exist but sit unlocked in a hallway with after-hours cleaner access.</t>
  </si>
  <si>
    <t>Shredding happens, but bins are unsecured (R-15).</t>
  </si>
  <si>
    <t>Encrypt Data on End-User Devices</t>
  </si>
  <si>
    <t>Laptops and phones lack full-disk encryption; staff travel and work remotely.</t>
  </si>
  <si>
    <t>No full-disk encryption on traveling devices (R-06, High).</t>
  </si>
  <si>
    <t>4.1</t>
  </si>
  <si>
    <t>4. Secure Configuration of Enterprise Assets and Software</t>
  </si>
  <si>
    <t>Establish and Maintain a Secure Configuration Process</t>
  </si>
  <si>
    <t>No documented secure configuration standard for laptops or servers.</t>
  </si>
  <si>
    <t>No configuration standard exists; no linked risk.</t>
  </si>
  <si>
    <t>4.2</t>
  </si>
  <si>
    <t>Establish and Maintain a Secure Configuration Process for Network Infrastructure</t>
  </si>
  <si>
    <t>No configuration standard for network devices. VPN gateway is rarely updated.</t>
  </si>
  <si>
    <t>No network device standard; VPN gateway is a known weak point (R-09, High).</t>
  </si>
  <si>
    <t>4.3</t>
  </si>
  <si>
    <t>Configure Automatic Session Locking on Enterprise Assets</t>
  </si>
  <si>
    <t>Screen lock settings are left at device defaults and not enforced.</t>
  </si>
  <si>
    <t>Default lock exists but isn't enforced firm-wide.</t>
  </si>
  <si>
    <t>4.4</t>
  </si>
  <si>
    <t>Implement and Manage a Firewall on Servers</t>
  </si>
  <si>
    <t>Shared-drive server uses the default OS firewall; rules have never been reviewed.</t>
  </si>
  <si>
    <t>Firewall is on by default but never reviewed; the server holds the shared drive targeted in R-08 (Critical).</t>
  </si>
  <si>
    <t>4.5</t>
  </si>
  <si>
    <t>Implement and Manage a Firewall on End-User Devices</t>
  </si>
  <si>
    <t>Laptop firewalls are on by default but not centrally managed or checked.</t>
  </si>
  <si>
    <t>On by default but not managed or verified.</t>
  </si>
  <si>
    <t>4.6</t>
  </si>
  <si>
    <t>Securely Manage Enterprise Assets and Software</t>
  </si>
  <si>
    <t>Admin interfaces for network devices have not been reviewed for secure protocols.</t>
  </si>
  <si>
    <t>Admin interfaces never reviewed; includes the VPN gateway (R-09).</t>
  </si>
  <si>
    <t>4.7</t>
  </si>
  <si>
    <t>Manage Default Accounts on Enterprise Assets and Software</t>
  </si>
  <si>
    <t>Default accounts on devices and software have not been reviewed or disabled.</t>
  </si>
  <si>
    <t>Default accounts never reviewed; no linked risk.</t>
  </si>
  <si>
    <t>5.1</t>
  </si>
  <si>
    <t>5. Account Management</t>
  </si>
  <si>
    <t>Establish and Maintain an Inventory of Accounts</t>
  </si>
  <si>
    <t>No inventory of user or service accounts.</t>
  </si>
  <si>
    <t>R-01, R-11</t>
  </si>
  <si>
    <t>No account inventory; former staff accounts and unrotated API keys (R-01, R-11).</t>
  </si>
  <si>
    <t>5.2</t>
  </si>
  <si>
    <t>Use Unique Passwords</t>
  </si>
  <si>
    <t>Shared logins are used. Credentials are saved in browsers and shared over email.</t>
  </si>
  <si>
    <t>R-01, R-14</t>
  </si>
  <si>
    <t>Shared logins and credentials stored in browsers and email (R-01, R-14).</t>
  </si>
  <si>
    <t>5.3</t>
  </si>
  <si>
    <t>Disable Dormant Accounts</t>
  </si>
  <si>
    <t>Former staff accounts are not removed.</t>
  </si>
  <si>
    <t>R-01</t>
  </si>
  <si>
    <t>Former staff accounts stay active (R-01).</t>
  </si>
  <si>
    <t>5.4</t>
  </si>
  <si>
    <t>Restrict Administrator Privileges to Dedicated Administrator Accounts</t>
  </si>
  <si>
    <t>Staff use their everyday accounts for admin tasks; no separate admin accounts.</t>
  </si>
  <si>
    <t>No linked risk, but raised: admin rights on daily accounts let malware or ransomware spread further.</t>
  </si>
  <si>
    <t>6.1</t>
  </si>
  <si>
    <t>6. Access Control Management</t>
  </si>
  <si>
    <t>Establish an Access Granting Process</t>
  </si>
  <si>
    <t>Access is granted informally by request to the office manager; nothing is documented.</t>
  </si>
  <si>
    <t>An informal request process exists but isn't documented.</t>
  </si>
  <si>
    <t>6.2</t>
  </si>
  <si>
    <t>Establish an Access Revoking Process</t>
  </si>
  <si>
    <t>No offboarding process: accounts and key fobs stay active after staff leave.</t>
  </si>
  <si>
    <t>No offboarding; accounts and fobs stay active (R-01, R-13).</t>
  </si>
  <si>
    <t>6.3</t>
  </si>
  <si>
    <t>Require MFA for Externally-Exposed Applications</t>
  </si>
  <si>
    <t>Client portal has no MFA. Email, banking, and domain registrar also lack MFA.</t>
  </si>
  <si>
    <t>R-03, R-04, R-10, R-14</t>
  </si>
  <si>
    <t>Client portal, email, banking, and registrar all lack MFA (R-03, R-04, R-10, R-14).</t>
  </si>
  <si>
    <t>6.4</t>
  </si>
  <si>
    <t>Require MFA for Remote Network Access</t>
  </si>
  <si>
    <t>VPN relies on username and password only.</t>
  </si>
  <si>
    <t>VPN is password-only (R-09).</t>
  </si>
  <si>
    <t>6.5</t>
  </si>
  <si>
    <t>Require MFA for Administrative Access</t>
  </si>
  <si>
    <t>No MFA required for administrator access.</t>
  </si>
  <si>
    <t>No linked risk, but raised: a compromised admin account means full takeover.</t>
  </si>
  <si>
    <t>7.1</t>
  </si>
  <si>
    <t>7. Continuous Vulnerability Management</t>
  </si>
  <si>
    <t>Establish and Maintain a Vulnerability Management Process</t>
  </si>
  <si>
    <t>No vulnerability management process.</t>
  </si>
  <si>
    <t>No vulnerability management process (R-09).</t>
  </si>
  <si>
    <t>7.2</t>
  </si>
  <si>
    <t>Establish and Maintain a Remediation Process</t>
  </si>
  <si>
    <t>No remediation process or patch timelines.</t>
  </si>
  <si>
    <t>No remediation timelines (R-09).</t>
  </si>
  <si>
    <t>7.3</t>
  </si>
  <si>
    <t>Perform Automated Operating System Patch Management</t>
  </si>
  <si>
    <t>Laptop OS updates are on by default but not verified; the VPN gateway is not patched on a schedule.</t>
  </si>
  <si>
    <t>Laptops update by default, but the VPN gateway isn't patched (R-09).</t>
  </si>
  <si>
    <t>7.4</t>
  </si>
  <si>
    <t>Perform Automated Application Patch Management</t>
  </si>
  <si>
    <t>Application updates rely on users; no tracking.</t>
  </si>
  <si>
    <t>Some apps auto-update, but nothing is tracked.</t>
  </si>
  <si>
    <t>8.1</t>
  </si>
  <si>
    <t>8. Audit Log Management</t>
  </si>
  <si>
    <t>Establish and Maintain an Audit Log Management Process</t>
  </si>
  <si>
    <t>No audit log management process.</t>
  </si>
  <si>
    <t>No log management process; no linked risk.</t>
  </si>
  <si>
    <t>8.2</t>
  </si>
  <si>
    <t>Collect Audit Logs</t>
  </si>
  <si>
    <t>Detect</t>
  </si>
  <si>
    <t>Cloud apps keep default logs, but nobody reviews them.</t>
  </si>
  <si>
    <t>8.3</t>
  </si>
  <si>
    <t>Ensure Adequate Audit Log Storage</t>
  </si>
  <si>
    <t>Log storage has not been planned; no retention period set for logs.</t>
  </si>
  <si>
    <t>No plan for log storage; no linked risk.</t>
  </si>
  <si>
    <t>9.1</t>
  </si>
  <si>
    <t>9. Email and Web Browser Protections</t>
  </si>
  <si>
    <t>Ensure Use of Only Fully Supported Browsers and Email Clients</t>
  </si>
  <si>
    <t>Browsers auto-update by default but versions are not checked.</t>
  </si>
  <si>
    <t>Browsers auto-update, but versions aren't verified.</t>
  </si>
  <si>
    <t>9.2</t>
  </si>
  <si>
    <t>Use DNS Filtering Services</t>
  </si>
  <si>
    <t>No DNS filtering.</t>
  </si>
  <si>
    <t>No linked risk, but raised: DNS filtering blocks phishing sites tied to R-04 (Critical).</t>
  </si>
  <si>
    <t>10.1</t>
  </si>
  <si>
    <t>10. Malware Defenses</t>
  </si>
  <si>
    <t>Deploy and Maintain Anti-Malware Software</t>
  </si>
  <si>
    <t>Built-in OS anti-malware is on laptops but not centrally monitored.</t>
  </si>
  <si>
    <t>Built-in anti-malware is on but not monitored.</t>
  </si>
  <si>
    <t>10.2</t>
  </si>
  <si>
    <t>Configure Automatic Anti-Malware Signature Updates</t>
  </si>
  <si>
    <t>Anti-malware signatures update automatically by default.</t>
  </si>
  <si>
    <t>Signatures update automatically. In place; keep it that way.</t>
  </si>
  <si>
    <t>10.3</t>
  </si>
  <si>
    <t>Disable Autorun and Autoplay for Removable Media</t>
  </si>
  <si>
    <t>No controls on USB or external media; autorun not disabled.</t>
  </si>
  <si>
    <t>R-07</t>
  </si>
  <si>
    <t>No removable media controls (R-07, Medium).</t>
  </si>
  <si>
    <t>11.1</t>
  </si>
  <si>
    <t>11. Data Recovery</t>
  </si>
  <si>
    <t>Establish and Maintain a Data Recovery Process</t>
  </si>
  <si>
    <t>Backups exist but there is no documented recovery process; restores are never tested.</t>
  </si>
  <si>
    <t>Backups exist, but no recovery process and restores never tested (R-08, Critical).</t>
  </si>
  <si>
    <t>11.2</t>
  </si>
  <si>
    <t>Perform Automated Backups</t>
  </si>
  <si>
    <t>Recover</t>
  </si>
  <si>
    <t>Automated backups of the shared drive run on a schedule.</t>
  </si>
  <si>
    <t>Automated backups run on a schedule. In place; the gaps are in 11.1, 11.3, and 11.4.</t>
  </si>
  <si>
    <t>11.3</t>
  </si>
  <si>
    <t>Protect Recovery Data</t>
  </si>
  <si>
    <t>Backups are reachable from the network and could be encrypted by ransomware.</t>
  </si>
  <si>
    <t>Backups are reachable by ransomware (R-08, Critical).</t>
  </si>
  <si>
    <t>11.4</t>
  </si>
  <si>
    <t>Establish and Maintain an Isolated Instance of Recovery Data</t>
  </si>
  <si>
    <t>No offline or isolated copy of backups.</t>
  </si>
  <si>
    <t>No offline or isolated copy (R-08, Critical).</t>
  </si>
  <si>
    <t>12.1</t>
  </si>
  <si>
    <t>12. Network Infrastructure Management</t>
  </si>
  <si>
    <t>Ensure Network Infrastructure is Up-to-Date</t>
  </si>
  <si>
    <t>VPN gateway firmware is rarely updated.</t>
  </si>
  <si>
    <t>VPN gateway firmware rarely updated (R-09).</t>
  </si>
  <si>
    <t>14.1</t>
  </si>
  <si>
    <t>14. Security Awareness and Skills Training</t>
  </si>
  <si>
    <t>Establish and Maintain a Security Awareness Program</t>
  </si>
  <si>
    <t>No security awareness program.</t>
  </si>
  <si>
    <t>No awareness program; phishing is the top risk (R-04, Critical).</t>
  </si>
  <si>
    <t>14.2</t>
  </si>
  <si>
    <t>Train Workforce Members to Recognize Social Engineering Attacks</t>
  </si>
  <si>
    <t>No phishing or social engineering training.</t>
  </si>
  <si>
    <t>No phishing training (R-04, Critical).</t>
  </si>
  <si>
    <t>14.3</t>
  </si>
  <si>
    <t>Train Workforce Members on Authentication Best Practices</t>
  </si>
  <si>
    <t>No training on authentication; SMS codes are used with no backup process.</t>
  </si>
  <si>
    <t>R-12</t>
  </si>
  <si>
    <t>No authentication training; SMS codes with no backup (R-12, Medium).</t>
  </si>
  <si>
    <t>14.4</t>
  </si>
  <si>
    <t>Train Workforce on Data Handling Best Practices</t>
  </si>
  <si>
    <t>No data handling training; sensitive information is sent over email.</t>
  </si>
  <si>
    <t>Sensitive info sent over email (R-04, Critical).</t>
  </si>
  <si>
    <t>14.5</t>
  </si>
  <si>
    <t>Train Workforce Members on Causes of Unintentional Data Exposure</t>
  </si>
  <si>
    <t>No training on accidental data exposure.</t>
  </si>
  <si>
    <t>R-04, R-15</t>
  </si>
  <si>
    <t>No training on accidental exposure (R-04, R-15).</t>
  </si>
  <si>
    <t>14.6</t>
  </si>
  <si>
    <t>Train Workforce Members on Recognizing and Reporting Security Incidents</t>
  </si>
  <si>
    <t>No training on recognizing or reporting incidents.</t>
  </si>
  <si>
    <t>No incident-reporting training; no linked risk.</t>
  </si>
  <si>
    <t>14.7</t>
  </si>
  <si>
    <t>Train Workforce on How to Identify and Report if Their Enterprise Assets are Missing Security Updates</t>
  </si>
  <si>
    <t>No training on reporting missing security updates.</t>
  </si>
  <si>
    <t>No training on missing updates; no linked risk.</t>
  </si>
  <si>
    <t>14.8</t>
  </si>
  <si>
    <t>Train Workforce on the Dangers of Connecting to and Transmitting Enterprise Data Over Insecure Networks</t>
  </si>
  <si>
    <t>No training on public Wi-Fi risks despite frequent travel and remote work.</t>
  </si>
  <si>
    <t>Frequent travel and remote work with no public Wi-Fi guidance (R-06, High).</t>
  </si>
  <si>
    <t>15. Service Provider Management</t>
  </si>
  <si>
    <t>Establish and Maintain an Inventory of Service Providers</t>
  </si>
  <si>
    <t>No service provider inventory. Several SaaS vendors and API integrations are in use.</t>
  </si>
  <si>
    <t>No vendor inventory despite several SaaS tools and API integrations (R-11, High).</t>
  </si>
  <si>
    <t>17. Incident Response Management</t>
  </si>
  <si>
    <t>Designate Personnel to Manage Incident Handling</t>
  </si>
  <si>
    <t>No one is designated to handle security incidents.</t>
  </si>
  <si>
    <t>No linked risk, but raised: with no one in charge, a ransomware event (R-08) would have no coordinated response.</t>
  </si>
  <si>
    <t>17.2</t>
  </si>
  <si>
    <t>Establish and Maintain Contact Information for Reporting Security Incidents</t>
  </si>
  <si>
    <t>No incident contact list (IT support, insurer, legal, regulators).</t>
  </si>
  <si>
    <t>No incident contact list; no linked risk.</t>
  </si>
  <si>
    <t>17.3</t>
  </si>
  <si>
    <t>Establish and Maintain an Enterprise Process for Reporting Incidents</t>
  </si>
  <si>
    <t>No process for staff to report incidents.</t>
  </si>
  <si>
    <t>No reporting process; no linked risk.</t>
  </si>
  <si>
    <t>Total</t>
  </si>
  <si>
    <t>Coverage = (Implemented + 0.5 x Partial) / Scored. Controls 13, 16, and 18 have no IG1 safeguards.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</si>
</sst>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i/>
      <sz val="9.0"/>
      <color theme="1"/>
      <name val="Arial"/>
    </font>
    <font>
      <i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bottom" wrapText="0"/>
    </xf>
    <xf borderId="1" fillId="3" fontId="5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top" wrapText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1" fillId="0" fontId="5" numFmtId="0" xfId="0" applyAlignment="1" applyBorder="1" applyFont="1">
      <alignment horizontal="center" shrinkToFit="0" vertical="top" wrapText="0"/>
    </xf>
    <xf borderId="0" fillId="0" fontId="4" numFmtId="164" xfId="0" applyAlignment="1" applyFont="1" applyNumberForma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1" fillId="0" fontId="5" numFmtId="9" xfId="0" applyAlignment="1" applyBorder="1" applyFont="1" applyNumberForma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0.0"/>
    <col customWidth="1" min="3" max="6" width="8.71"/>
  </cols>
  <sheetData>
    <row r="1" ht="17.25" customHeight="1">
      <c r="A1" s="1" t="s">
        <v>0</v>
      </c>
      <c r="B1" s="3"/>
    </row>
    <row r="2">
      <c r="A2" s="3"/>
      <c r="B2" s="3"/>
    </row>
    <row r="3" ht="23.25" customHeight="1">
      <c r="A3" s="5" t="s">
        <v>9</v>
      </c>
      <c r="B3" s="7" t="s">
        <v>10</v>
      </c>
    </row>
    <row r="4" ht="15.0" customHeight="1">
      <c r="A4" s="5" t="s">
        <v>14</v>
      </c>
      <c r="B4" s="7" t="s">
        <v>16</v>
      </c>
    </row>
    <row r="5" ht="23.25" customHeight="1">
      <c r="A5" s="5" t="s">
        <v>19</v>
      </c>
      <c r="B5" s="7" t="s">
        <v>23</v>
      </c>
    </row>
    <row r="6" ht="15.0" customHeight="1">
      <c r="A6" s="5" t="s">
        <v>25</v>
      </c>
      <c r="B6" s="7" t="s">
        <v>28</v>
      </c>
    </row>
    <row r="7">
      <c r="A7" s="3"/>
      <c r="B7" s="3"/>
    </row>
    <row r="8" ht="15.0" customHeight="1">
      <c r="A8" s="8" t="s">
        <v>32</v>
      </c>
      <c r="B8" s="3"/>
    </row>
    <row r="9" ht="15.0" customHeight="1">
      <c r="A9" s="9" t="s">
        <v>36</v>
      </c>
      <c r="B9" s="3"/>
    </row>
    <row r="10" ht="15.0" customHeight="1">
      <c r="A10" s="9" t="s">
        <v>44</v>
      </c>
      <c r="B10" s="3"/>
    </row>
    <row r="11" ht="15.0" customHeight="1">
      <c r="A11" s="9" t="s">
        <v>47</v>
      </c>
      <c r="B11" s="3"/>
    </row>
    <row r="12" ht="15.0" customHeight="1">
      <c r="A12" s="9" t="s">
        <v>50</v>
      </c>
      <c r="B12" s="3"/>
    </row>
    <row r="13" ht="15.0" customHeight="1">
      <c r="A13" s="9" t="s">
        <v>54</v>
      </c>
      <c r="B13" s="3"/>
    </row>
    <row r="14">
      <c r="A14" s="3"/>
      <c r="B14" s="3"/>
    </row>
    <row r="15" ht="15.0" customHeight="1">
      <c r="A15" s="8" t="s">
        <v>59</v>
      </c>
      <c r="B15" s="3"/>
    </row>
    <row r="16" ht="15.0" customHeight="1">
      <c r="A16" s="9" t="s">
        <v>61</v>
      </c>
      <c r="B16" s="9" t="s">
        <v>63</v>
      </c>
    </row>
    <row r="17" ht="15.0" customHeight="1">
      <c r="A17" s="9" t="s">
        <v>65</v>
      </c>
      <c r="B17" s="9" t="s">
        <v>66</v>
      </c>
    </row>
    <row r="18" ht="15.0" customHeight="1">
      <c r="A18" s="9" t="s">
        <v>67</v>
      </c>
      <c r="B18" s="9" t="s">
        <v>71</v>
      </c>
    </row>
    <row r="19">
      <c r="A19" s="9" t="s">
        <v>39</v>
      </c>
      <c r="B19" s="9" t="s">
        <v>79</v>
      </c>
    </row>
    <row r="20" ht="15.0" customHeight="1">
      <c r="A20" s="3"/>
      <c r="B20" s="3"/>
    </row>
    <row r="21" ht="15.0" customHeight="1">
      <c r="A21" s="8" t="s">
        <v>82</v>
      </c>
      <c r="B21" s="3"/>
    </row>
    <row r="22" ht="15.0" customHeight="1">
      <c r="A22" s="9" t="s">
        <v>86</v>
      </c>
      <c r="B22" s="15">
        <f>COUNTA('Gap Assessment'!A2:A57)</f>
        <v>56</v>
      </c>
    </row>
    <row r="23" ht="15.0" customHeight="1">
      <c r="A23" s="9" t="s">
        <v>104</v>
      </c>
      <c r="B23" s="15">
        <f>COUNTA('Gap Assessment'!F2:F57)</f>
        <v>56</v>
      </c>
    </row>
    <row r="24" ht="15.0" customHeight="1">
      <c r="A24" s="9" t="s">
        <v>34</v>
      </c>
      <c r="B24" s="15">
        <f>COUNTIF('Gap Assessment'!F2:F57,"Implemented")</f>
        <v>2</v>
      </c>
    </row>
    <row r="25" ht="15.0" customHeight="1">
      <c r="A25" s="9" t="s">
        <v>37</v>
      </c>
      <c r="B25" s="15">
        <f>COUNTIF('Gap Assessment'!F2:F57,"Partial")</f>
        <v>11</v>
      </c>
    </row>
    <row r="26" ht="15.0" customHeight="1">
      <c r="A26" s="9" t="s">
        <v>43</v>
      </c>
      <c r="B26" s="15">
        <f>COUNTIF('Gap Assessment'!F2:F57,"Not Implemented")</f>
        <v>43</v>
      </c>
    </row>
    <row r="27" ht="15.75" customHeight="1">
      <c r="A27" s="9" t="s">
        <v>112</v>
      </c>
      <c r="B27" s="17">
        <f>IFERROR(SUM('Gap Assessment'!G2:G57)/COUNT('Gap Assessment'!G2:G57),"Not scored yet")</f>
        <v>0.1339285714</v>
      </c>
    </row>
    <row r="28" ht="15.0" customHeight="1">
      <c r="A28" s="3"/>
      <c r="B28" s="3"/>
    </row>
    <row r="29" ht="15.0" customHeight="1">
      <c r="A29" s="18" t="s">
        <v>123</v>
      </c>
      <c r="B29" s="3"/>
    </row>
    <row r="30" ht="15.75" customHeight="1">
      <c r="A30" s="14" t="s">
        <v>126</v>
      </c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42.0"/>
    <col customWidth="1" min="4" max="4" width="12.0"/>
    <col customWidth="1" min="5" max="5" width="55.0"/>
    <col customWidth="1" min="6" max="6" width="17.0"/>
    <col customWidth="1" min="7" max="7" width="8.0"/>
    <col customWidth="1" min="8" max="8" width="16.0"/>
    <col customWidth="1" min="9" max="9" width="15.0"/>
    <col customWidth="1" min="10" max="10" width="11.0"/>
    <col customWidth="1" min="11" max="11" width="30.0"/>
  </cols>
  <sheetData>
    <row r="1" ht="23.25" customHeight="1">
      <c r="A1" s="4" t="s">
        <v>3</v>
      </c>
      <c r="B1" s="4" t="s">
        <v>2</v>
      </c>
      <c r="C1" s="4" t="s">
        <v>18</v>
      </c>
      <c r="D1" s="4" t="s">
        <v>21</v>
      </c>
      <c r="E1" s="4" t="s">
        <v>27</v>
      </c>
      <c r="F1" s="4" t="s">
        <v>30</v>
      </c>
      <c r="G1" s="4" t="s">
        <v>33</v>
      </c>
      <c r="H1" s="4" t="s">
        <v>5</v>
      </c>
      <c r="I1" s="4" t="s">
        <v>35</v>
      </c>
      <c r="J1" s="4" t="s">
        <v>39</v>
      </c>
      <c r="K1" s="4" t="s">
        <v>42</v>
      </c>
    </row>
    <row r="2" ht="23.25" customHeight="1">
      <c r="A2" s="10" t="s">
        <v>49</v>
      </c>
      <c r="B2" s="6" t="s">
        <v>58</v>
      </c>
      <c r="C2" s="6" t="s">
        <v>69</v>
      </c>
      <c r="D2" s="6" t="s">
        <v>73</v>
      </c>
      <c r="E2" s="6" t="s">
        <v>75</v>
      </c>
      <c r="F2" s="12" t="s">
        <v>37</v>
      </c>
      <c r="G2" s="16">
        <f t="shared" ref="G2:G57" si="1">IF(F2="Implemented",1,IF(F2="Partial",0.5,IF(F2="Not Implemented",0,"")))</f>
        <v>0.5</v>
      </c>
      <c r="H2" s="6" t="s">
        <v>105</v>
      </c>
      <c r="I2" s="6" t="s">
        <v>106</v>
      </c>
      <c r="J2" s="12" t="s">
        <v>46</v>
      </c>
      <c r="K2" s="6" t="s">
        <v>107</v>
      </c>
    </row>
    <row r="3" ht="23.25" customHeight="1">
      <c r="A3" s="10" t="s">
        <v>108</v>
      </c>
      <c r="B3" s="6" t="s">
        <v>58</v>
      </c>
      <c r="C3" s="6" t="s">
        <v>109</v>
      </c>
      <c r="D3" s="6" t="s">
        <v>110</v>
      </c>
      <c r="E3" s="6" t="s">
        <v>111</v>
      </c>
      <c r="F3" s="12" t="s">
        <v>43</v>
      </c>
      <c r="G3" s="16">
        <f t="shared" si="1"/>
        <v>0</v>
      </c>
      <c r="H3" s="6" t="s">
        <v>105</v>
      </c>
      <c r="I3" s="6" t="s">
        <v>106</v>
      </c>
      <c r="J3" s="12" t="s">
        <v>17</v>
      </c>
      <c r="K3" s="6" t="s">
        <v>113</v>
      </c>
    </row>
    <row r="4" ht="23.25" customHeight="1">
      <c r="A4" s="10" t="s">
        <v>114</v>
      </c>
      <c r="B4" s="6" t="s">
        <v>115</v>
      </c>
      <c r="C4" s="6" t="s">
        <v>116</v>
      </c>
      <c r="D4" s="6" t="s">
        <v>73</v>
      </c>
      <c r="E4" s="6" t="s">
        <v>117</v>
      </c>
      <c r="F4" s="12" t="s">
        <v>43</v>
      </c>
      <c r="G4" s="16">
        <f t="shared" si="1"/>
        <v>0</v>
      </c>
      <c r="H4" s="6" t="s">
        <v>105</v>
      </c>
      <c r="I4" s="6" t="s">
        <v>106</v>
      </c>
      <c r="J4" s="12" t="s">
        <v>17</v>
      </c>
      <c r="K4" s="6" t="s">
        <v>118</v>
      </c>
    </row>
    <row r="5" ht="23.25" customHeight="1">
      <c r="A5" s="10" t="s">
        <v>96</v>
      </c>
      <c r="B5" s="6" t="s">
        <v>115</v>
      </c>
      <c r="C5" s="6" t="s">
        <v>119</v>
      </c>
      <c r="D5" s="6" t="s">
        <v>73</v>
      </c>
      <c r="E5" s="6" t="s">
        <v>120</v>
      </c>
      <c r="F5" s="12" t="s">
        <v>43</v>
      </c>
      <c r="G5" s="16">
        <f t="shared" si="1"/>
        <v>0</v>
      </c>
      <c r="H5" s="6" t="s">
        <v>53</v>
      </c>
      <c r="I5" s="6" t="s">
        <v>121</v>
      </c>
      <c r="J5" s="12" t="s">
        <v>95</v>
      </c>
      <c r="K5" s="6" t="s">
        <v>122</v>
      </c>
    </row>
    <row r="6" ht="23.25" customHeight="1">
      <c r="A6" s="10" t="s">
        <v>124</v>
      </c>
      <c r="B6" s="6" t="s">
        <v>115</v>
      </c>
      <c r="C6" s="6" t="s">
        <v>125</v>
      </c>
      <c r="D6" s="6" t="s">
        <v>110</v>
      </c>
      <c r="E6" s="6" t="s">
        <v>127</v>
      </c>
      <c r="F6" s="12" t="s">
        <v>43</v>
      </c>
      <c r="G6" s="16">
        <f t="shared" si="1"/>
        <v>0</v>
      </c>
      <c r="H6" s="6" t="s">
        <v>105</v>
      </c>
      <c r="I6" s="6" t="s">
        <v>106</v>
      </c>
      <c r="J6" s="12" t="s">
        <v>17</v>
      </c>
      <c r="K6" s="6" t="s">
        <v>128</v>
      </c>
    </row>
    <row r="7" ht="23.25" customHeight="1">
      <c r="A7" s="10" t="s">
        <v>129</v>
      </c>
      <c r="B7" s="6" t="s">
        <v>130</v>
      </c>
      <c r="C7" s="6" t="s">
        <v>131</v>
      </c>
      <c r="D7" s="6" t="s">
        <v>132</v>
      </c>
      <c r="E7" s="6" t="s">
        <v>133</v>
      </c>
      <c r="F7" s="12" t="s">
        <v>43</v>
      </c>
      <c r="G7" s="16">
        <f t="shared" si="1"/>
        <v>0</v>
      </c>
      <c r="H7" s="6" t="s">
        <v>134</v>
      </c>
      <c r="I7" s="6" t="s">
        <v>121</v>
      </c>
      <c r="J7" s="12" t="s">
        <v>95</v>
      </c>
      <c r="K7" s="6" t="s">
        <v>135</v>
      </c>
    </row>
    <row r="8" ht="15.0" customHeight="1">
      <c r="A8" s="10" t="s">
        <v>136</v>
      </c>
      <c r="B8" s="6" t="s">
        <v>130</v>
      </c>
      <c r="C8" s="6" t="s">
        <v>137</v>
      </c>
      <c r="D8" s="6" t="s">
        <v>73</v>
      </c>
      <c r="E8" s="6" t="s">
        <v>138</v>
      </c>
      <c r="F8" s="12" t="s">
        <v>43</v>
      </c>
      <c r="G8" s="16">
        <f t="shared" si="1"/>
        <v>0</v>
      </c>
      <c r="H8" s="6" t="s">
        <v>134</v>
      </c>
      <c r="I8" s="6" t="s">
        <v>121</v>
      </c>
      <c r="J8" s="12" t="s">
        <v>95</v>
      </c>
      <c r="K8" s="6" t="s">
        <v>139</v>
      </c>
    </row>
    <row r="9" ht="15.0" customHeight="1">
      <c r="A9" s="10" t="s">
        <v>140</v>
      </c>
      <c r="B9" s="6" t="s">
        <v>130</v>
      </c>
      <c r="C9" s="6" t="s">
        <v>141</v>
      </c>
      <c r="D9" s="6" t="s">
        <v>142</v>
      </c>
      <c r="E9" s="6" t="s">
        <v>143</v>
      </c>
      <c r="F9" s="12" t="s">
        <v>43</v>
      </c>
      <c r="G9" s="16">
        <f t="shared" si="1"/>
        <v>0</v>
      </c>
      <c r="H9" s="6" t="s">
        <v>93</v>
      </c>
      <c r="I9" s="6" t="s">
        <v>121</v>
      </c>
      <c r="J9" s="12" t="s">
        <v>95</v>
      </c>
      <c r="K9" s="6" t="s">
        <v>144</v>
      </c>
    </row>
    <row r="10" ht="15.0" customHeight="1">
      <c r="A10" s="10" t="s">
        <v>145</v>
      </c>
      <c r="B10" s="6" t="s">
        <v>130</v>
      </c>
      <c r="C10" s="6" t="s">
        <v>146</v>
      </c>
      <c r="D10" s="6" t="s">
        <v>142</v>
      </c>
      <c r="E10" s="6" t="s">
        <v>147</v>
      </c>
      <c r="F10" s="12" t="s">
        <v>43</v>
      </c>
      <c r="G10" s="16">
        <f t="shared" si="1"/>
        <v>0</v>
      </c>
      <c r="H10" s="6" t="s">
        <v>148</v>
      </c>
      <c r="I10" s="6" t="s">
        <v>106</v>
      </c>
      <c r="J10" s="12" t="s">
        <v>46</v>
      </c>
      <c r="K10" s="6" t="s">
        <v>149</v>
      </c>
    </row>
    <row r="11" ht="23.25" customHeight="1">
      <c r="A11" s="10" t="s">
        <v>150</v>
      </c>
      <c r="B11" s="6" t="s">
        <v>130</v>
      </c>
      <c r="C11" s="6" t="s">
        <v>151</v>
      </c>
      <c r="D11" s="6" t="s">
        <v>142</v>
      </c>
      <c r="E11" s="6" t="s">
        <v>152</v>
      </c>
      <c r="F11" s="12" t="s">
        <v>37</v>
      </c>
      <c r="G11" s="16">
        <f t="shared" si="1"/>
        <v>0.5</v>
      </c>
      <c r="H11" s="6" t="s">
        <v>148</v>
      </c>
      <c r="I11" s="6" t="s">
        <v>121</v>
      </c>
      <c r="J11" s="12" t="s">
        <v>46</v>
      </c>
      <c r="K11" s="6" t="s">
        <v>153</v>
      </c>
    </row>
    <row r="12" ht="23.25" customHeight="1">
      <c r="A12" s="10" t="s">
        <v>76</v>
      </c>
      <c r="B12" s="6" t="s">
        <v>130</v>
      </c>
      <c r="C12" s="6" t="s">
        <v>154</v>
      </c>
      <c r="D12" s="6" t="s">
        <v>142</v>
      </c>
      <c r="E12" s="6" t="s">
        <v>155</v>
      </c>
      <c r="F12" s="12" t="s">
        <v>43</v>
      </c>
      <c r="G12" s="16">
        <f t="shared" si="1"/>
        <v>0</v>
      </c>
      <c r="H12" s="6" t="s">
        <v>78</v>
      </c>
      <c r="I12" s="6" t="s">
        <v>121</v>
      </c>
      <c r="J12" s="12" t="s">
        <v>95</v>
      </c>
      <c r="K12" s="6" t="s">
        <v>156</v>
      </c>
    </row>
    <row r="13" ht="23.25" customHeight="1">
      <c r="A13" s="10" t="s">
        <v>157</v>
      </c>
      <c r="B13" s="6" t="s">
        <v>158</v>
      </c>
      <c r="C13" s="6" t="s">
        <v>159</v>
      </c>
      <c r="D13" s="6" t="s">
        <v>132</v>
      </c>
      <c r="E13" s="6" t="s">
        <v>160</v>
      </c>
      <c r="F13" s="12" t="s">
        <v>43</v>
      </c>
      <c r="G13" s="16">
        <f t="shared" si="1"/>
        <v>0</v>
      </c>
      <c r="H13" s="6" t="s">
        <v>105</v>
      </c>
      <c r="I13" s="6" t="s">
        <v>106</v>
      </c>
      <c r="J13" s="12" t="s">
        <v>17</v>
      </c>
      <c r="K13" s="6" t="s">
        <v>161</v>
      </c>
    </row>
    <row r="14" ht="23.25" customHeight="1">
      <c r="A14" s="10" t="s">
        <v>162</v>
      </c>
      <c r="B14" s="6" t="s">
        <v>158</v>
      </c>
      <c r="C14" s="6" t="s">
        <v>163</v>
      </c>
      <c r="D14" s="6" t="s">
        <v>132</v>
      </c>
      <c r="E14" s="6" t="s">
        <v>164</v>
      </c>
      <c r="F14" s="12" t="s">
        <v>43</v>
      </c>
      <c r="G14" s="16">
        <f t="shared" si="1"/>
        <v>0</v>
      </c>
      <c r="H14" s="6" t="s">
        <v>53</v>
      </c>
      <c r="I14" s="6" t="s">
        <v>121</v>
      </c>
      <c r="J14" s="12" t="s">
        <v>95</v>
      </c>
      <c r="K14" s="6" t="s">
        <v>165</v>
      </c>
    </row>
    <row r="15" ht="23.25" customHeight="1">
      <c r="A15" s="10" t="s">
        <v>166</v>
      </c>
      <c r="B15" s="6" t="s">
        <v>158</v>
      </c>
      <c r="C15" s="6" t="s">
        <v>167</v>
      </c>
      <c r="D15" s="6" t="s">
        <v>142</v>
      </c>
      <c r="E15" s="6" t="s">
        <v>168</v>
      </c>
      <c r="F15" s="12" t="s">
        <v>37</v>
      </c>
      <c r="G15" s="16">
        <f t="shared" si="1"/>
        <v>0.5</v>
      </c>
      <c r="H15" s="6" t="s">
        <v>105</v>
      </c>
      <c r="I15" s="6" t="s">
        <v>106</v>
      </c>
      <c r="J15" s="12" t="s">
        <v>17</v>
      </c>
      <c r="K15" s="6" t="s">
        <v>169</v>
      </c>
    </row>
    <row r="16" ht="23.25" customHeight="1">
      <c r="A16" s="10" t="s">
        <v>170</v>
      </c>
      <c r="B16" s="6" t="s">
        <v>158</v>
      </c>
      <c r="C16" s="6" t="s">
        <v>171</v>
      </c>
      <c r="D16" s="6" t="s">
        <v>142</v>
      </c>
      <c r="E16" s="6" t="s">
        <v>172</v>
      </c>
      <c r="F16" s="12" t="s">
        <v>37</v>
      </c>
      <c r="G16" s="16">
        <f t="shared" si="1"/>
        <v>0.5</v>
      </c>
      <c r="H16" s="6" t="s">
        <v>41</v>
      </c>
      <c r="I16" s="6" t="s">
        <v>106</v>
      </c>
      <c r="J16" s="12" t="s">
        <v>95</v>
      </c>
      <c r="K16" s="6" t="s">
        <v>173</v>
      </c>
    </row>
    <row r="17" ht="23.25" customHeight="1">
      <c r="A17" s="10" t="s">
        <v>174</v>
      </c>
      <c r="B17" s="6" t="s">
        <v>158</v>
      </c>
      <c r="C17" s="6" t="s">
        <v>175</v>
      </c>
      <c r="D17" s="6" t="s">
        <v>142</v>
      </c>
      <c r="E17" s="6" t="s">
        <v>176</v>
      </c>
      <c r="F17" s="12" t="s">
        <v>37</v>
      </c>
      <c r="G17" s="16">
        <f t="shared" si="1"/>
        <v>0.5</v>
      </c>
      <c r="H17" s="6" t="s">
        <v>105</v>
      </c>
      <c r="I17" s="6" t="s">
        <v>106</v>
      </c>
      <c r="J17" s="12" t="s">
        <v>17</v>
      </c>
      <c r="K17" s="6" t="s">
        <v>177</v>
      </c>
    </row>
    <row r="18" ht="23.25" customHeight="1">
      <c r="A18" s="10" t="s">
        <v>178</v>
      </c>
      <c r="B18" s="6" t="s">
        <v>158</v>
      </c>
      <c r="C18" s="6" t="s">
        <v>179</v>
      </c>
      <c r="D18" s="6" t="s">
        <v>142</v>
      </c>
      <c r="E18" s="6" t="s">
        <v>180</v>
      </c>
      <c r="F18" s="12" t="s">
        <v>43</v>
      </c>
      <c r="G18" s="16">
        <f t="shared" si="1"/>
        <v>0</v>
      </c>
      <c r="H18" s="6" t="s">
        <v>53</v>
      </c>
      <c r="I18" s="6" t="s">
        <v>106</v>
      </c>
      <c r="J18" s="12" t="s">
        <v>95</v>
      </c>
      <c r="K18" s="6" t="s">
        <v>181</v>
      </c>
    </row>
    <row r="19" ht="23.25" customHeight="1">
      <c r="A19" s="10" t="s">
        <v>182</v>
      </c>
      <c r="B19" s="6" t="s">
        <v>158</v>
      </c>
      <c r="C19" s="6" t="s">
        <v>183</v>
      </c>
      <c r="D19" s="6" t="s">
        <v>142</v>
      </c>
      <c r="E19" s="6" t="s">
        <v>184</v>
      </c>
      <c r="F19" s="12" t="s">
        <v>43</v>
      </c>
      <c r="G19" s="16">
        <f t="shared" si="1"/>
        <v>0</v>
      </c>
      <c r="H19" s="6" t="s">
        <v>105</v>
      </c>
      <c r="I19" s="6" t="s">
        <v>106</v>
      </c>
      <c r="J19" s="12" t="s">
        <v>17</v>
      </c>
      <c r="K19" s="6" t="s">
        <v>185</v>
      </c>
    </row>
    <row r="20" ht="15.0" customHeight="1">
      <c r="A20" s="10" t="s">
        <v>186</v>
      </c>
      <c r="B20" s="6" t="s">
        <v>187</v>
      </c>
      <c r="C20" s="6" t="s">
        <v>188</v>
      </c>
      <c r="D20" s="6" t="s">
        <v>73</v>
      </c>
      <c r="E20" s="6" t="s">
        <v>189</v>
      </c>
      <c r="F20" s="12" t="s">
        <v>43</v>
      </c>
      <c r="G20" s="16">
        <f t="shared" si="1"/>
        <v>0</v>
      </c>
      <c r="H20" s="6" t="s">
        <v>190</v>
      </c>
      <c r="I20" s="6" t="s">
        <v>121</v>
      </c>
      <c r="J20" s="12" t="s">
        <v>95</v>
      </c>
      <c r="K20" s="6" t="s">
        <v>191</v>
      </c>
    </row>
    <row r="21" ht="23.25" customHeight="1">
      <c r="A21" s="10" t="s">
        <v>192</v>
      </c>
      <c r="B21" s="6" t="s">
        <v>187</v>
      </c>
      <c r="C21" s="6" t="s">
        <v>193</v>
      </c>
      <c r="D21" s="6" t="s">
        <v>142</v>
      </c>
      <c r="E21" s="6" t="s">
        <v>194</v>
      </c>
      <c r="F21" s="12" t="s">
        <v>43</v>
      </c>
      <c r="G21" s="16">
        <f t="shared" si="1"/>
        <v>0</v>
      </c>
      <c r="H21" s="6" t="s">
        <v>195</v>
      </c>
      <c r="I21" s="6" t="s">
        <v>121</v>
      </c>
      <c r="J21" s="12" t="s">
        <v>95</v>
      </c>
      <c r="K21" s="6" t="s">
        <v>196</v>
      </c>
    </row>
    <row r="22" ht="15.0" customHeight="1">
      <c r="A22" s="10" t="s">
        <v>197</v>
      </c>
      <c r="B22" s="6" t="s">
        <v>187</v>
      </c>
      <c r="C22" s="6" t="s">
        <v>198</v>
      </c>
      <c r="D22" s="6" t="s">
        <v>142</v>
      </c>
      <c r="E22" s="6" t="s">
        <v>199</v>
      </c>
      <c r="F22" s="12" t="s">
        <v>43</v>
      </c>
      <c r="G22" s="16">
        <f t="shared" si="1"/>
        <v>0</v>
      </c>
      <c r="H22" s="6" t="s">
        <v>200</v>
      </c>
      <c r="I22" s="6" t="s">
        <v>121</v>
      </c>
      <c r="J22" s="12" t="s">
        <v>95</v>
      </c>
      <c r="K22" s="6" t="s">
        <v>201</v>
      </c>
    </row>
    <row r="23" ht="23.25" customHeight="1">
      <c r="A23" s="10" t="s">
        <v>202</v>
      </c>
      <c r="B23" s="6" t="s">
        <v>187</v>
      </c>
      <c r="C23" s="6" t="s">
        <v>203</v>
      </c>
      <c r="D23" s="6" t="s">
        <v>142</v>
      </c>
      <c r="E23" s="6" t="s">
        <v>204</v>
      </c>
      <c r="F23" s="12" t="s">
        <v>43</v>
      </c>
      <c r="G23" s="16">
        <f t="shared" si="1"/>
        <v>0</v>
      </c>
      <c r="H23" s="6" t="s">
        <v>105</v>
      </c>
      <c r="I23" s="6" t="s">
        <v>106</v>
      </c>
      <c r="J23" s="12" t="s">
        <v>46</v>
      </c>
      <c r="K23" s="6" t="s">
        <v>205</v>
      </c>
    </row>
    <row r="24" ht="23.25" customHeight="1">
      <c r="A24" s="10" t="s">
        <v>206</v>
      </c>
      <c r="B24" s="6" t="s">
        <v>207</v>
      </c>
      <c r="C24" s="6" t="s">
        <v>208</v>
      </c>
      <c r="D24" s="6" t="s">
        <v>132</v>
      </c>
      <c r="E24" s="6" t="s">
        <v>209</v>
      </c>
      <c r="F24" s="12" t="s">
        <v>37</v>
      </c>
      <c r="G24" s="16">
        <f t="shared" si="1"/>
        <v>0.5</v>
      </c>
      <c r="H24" s="6" t="s">
        <v>105</v>
      </c>
      <c r="I24" s="6" t="s">
        <v>106</v>
      </c>
      <c r="J24" s="12" t="s">
        <v>17</v>
      </c>
      <c r="K24" s="6" t="s">
        <v>210</v>
      </c>
    </row>
    <row r="25" ht="23.25" customHeight="1">
      <c r="A25" s="10" t="s">
        <v>211</v>
      </c>
      <c r="B25" s="6" t="s">
        <v>207</v>
      </c>
      <c r="C25" s="6" t="s">
        <v>212</v>
      </c>
      <c r="D25" s="6" t="s">
        <v>132</v>
      </c>
      <c r="E25" s="6" t="s">
        <v>213</v>
      </c>
      <c r="F25" s="12" t="s">
        <v>43</v>
      </c>
      <c r="G25" s="16">
        <f t="shared" si="1"/>
        <v>0</v>
      </c>
      <c r="H25" s="6" t="s">
        <v>24</v>
      </c>
      <c r="I25" s="6" t="s">
        <v>121</v>
      </c>
      <c r="J25" s="12" t="s">
        <v>95</v>
      </c>
      <c r="K25" s="6" t="s">
        <v>214</v>
      </c>
    </row>
    <row r="26" ht="23.25" customHeight="1">
      <c r="A26" s="10" t="s">
        <v>215</v>
      </c>
      <c r="B26" s="6" t="s">
        <v>207</v>
      </c>
      <c r="C26" s="6" t="s">
        <v>216</v>
      </c>
      <c r="D26" s="6" t="s">
        <v>142</v>
      </c>
      <c r="E26" s="6" t="s">
        <v>217</v>
      </c>
      <c r="F26" s="12" t="s">
        <v>43</v>
      </c>
      <c r="G26" s="16">
        <f t="shared" si="1"/>
        <v>0</v>
      </c>
      <c r="H26" s="6" t="s">
        <v>218</v>
      </c>
      <c r="I26" s="6" t="s">
        <v>121</v>
      </c>
      <c r="J26" s="12" t="s">
        <v>95</v>
      </c>
      <c r="K26" s="6" t="s">
        <v>219</v>
      </c>
    </row>
    <row r="27" ht="15.0" customHeight="1">
      <c r="A27" s="10" t="s">
        <v>220</v>
      </c>
      <c r="B27" s="6" t="s">
        <v>207</v>
      </c>
      <c r="C27" s="6" t="s">
        <v>221</v>
      </c>
      <c r="D27" s="6" t="s">
        <v>142</v>
      </c>
      <c r="E27" s="6" t="s">
        <v>222</v>
      </c>
      <c r="F27" s="12" t="s">
        <v>43</v>
      </c>
      <c r="G27" s="16">
        <f t="shared" si="1"/>
        <v>0</v>
      </c>
      <c r="H27" s="6" t="s">
        <v>53</v>
      </c>
      <c r="I27" s="6" t="s">
        <v>106</v>
      </c>
      <c r="J27" s="12" t="s">
        <v>95</v>
      </c>
      <c r="K27" s="6" t="s">
        <v>223</v>
      </c>
    </row>
    <row r="28" ht="15.0" customHeight="1">
      <c r="A28" s="10" t="s">
        <v>224</v>
      </c>
      <c r="B28" s="6" t="s">
        <v>207</v>
      </c>
      <c r="C28" s="6" t="s">
        <v>225</v>
      </c>
      <c r="D28" s="6" t="s">
        <v>142</v>
      </c>
      <c r="E28" s="6" t="s">
        <v>226</v>
      </c>
      <c r="F28" s="12" t="s">
        <v>43</v>
      </c>
      <c r="G28" s="16">
        <f t="shared" si="1"/>
        <v>0</v>
      </c>
      <c r="H28" s="6" t="s">
        <v>105</v>
      </c>
      <c r="I28" s="6" t="s">
        <v>106</v>
      </c>
      <c r="J28" s="12" t="s">
        <v>46</v>
      </c>
      <c r="K28" s="6" t="s">
        <v>227</v>
      </c>
    </row>
    <row r="29" ht="23.25" customHeight="1">
      <c r="A29" s="10" t="s">
        <v>228</v>
      </c>
      <c r="B29" s="6" t="s">
        <v>229</v>
      </c>
      <c r="C29" s="6" t="s">
        <v>230</v>
      </c>
      <c r="D29" s="6" t="s">
        <v>132</v>
      </c>
      <c r="E29" s="6" t="s">
        <v>231</v>
      </c>
      <c r="F29" s="12" t="s">
        <v>43</v>
      </c>
      <c r="G29" s="16">
        <f t="shared" si="1"/>
        <v>0</v>
      </c>
      <c r="H29" s="6" t="s">
        <v>53</v>
      </c>
      <c r="I29" s="6" t="s">
        <v>121</v>
      </c>
      <c r="J29" s="12" t="s">
        <v>95</v>
      </c>
      <c r="K29" s="6" t="s">
        <v>232</v>
      </c>
    </row>
    <row r="30" ht="23.25" customHeight="1">
      <c r="A30" s="10" t="s">
        <v>233</v>
      </c>
      <c r="B30" s="6" t="s">
        <v>229</v>
      </c>
      <c r="C30" s="6" t="s">
        <v>234</v>
      </c>
      <c r="D30" s="6" t="s">
        <v>132</v>
      </c>
      <c r="E30" s="6" t="s">
        <v>235</v>
      </c>
      <c r="F30" s="12" t="s">
        <v>43</v>
      </c>
      <c r="G30" s="16">
        <f t="shared" si="1"/>
        <v>0</v>
      </c>
      <c r="H30" s="6" t="s">
        <v>53</v>
      </c>
      <c r="I30" s="6" t="s">
        <v>121</v>
      </c>
      <c r="J30" s="12" t="s">
        <v>95</v>
      </c>
      <c r="K30" s="6" t="s">
        <v>236</v>
      </c>
    </row>
    <row r="31" ht="23.25" customHeight="1">
      <c r="A31" s="10" t="s">
        <v>237</v>
      </c>
      <c r="B31" s="6" t="s">
        <v>229</v>
      </c>
      <c r="C31" s="6" t="s">
        <v>238</v>
      </c>
      <c r="D31" s="6" t="s">
        <v>142</v>
      </c>
      <c r="E31" s="6" t="s">
        <v>239</v>
      </c>
      <c r="F31" s="12" t="s">
        <v>37</v>
      </c>
      <c r="G31" s="16">
        <f t="shared" si="1"/>
        <v>0.5</v>
      </c>
      <c r="H31" s="6" t="s">
        <v>53</v>
      </c>
      <c r="I31" s="6" t="s">
        <v>121</v>
      </c>
      <c r="J31" s="12" t="s">
        <v>95</v>
      </c>
      <c r="K31" s="6" t="s">
        <v>240</v>
      </c>
    </row>
    <row r="32" ht="23.25" customHeight="1">
      <c r="A32" s="10" t="s">
        <v>241</v>
      </c>
      <c r="B32" s="6" t="s">
        <v>229</v>
      </c>
      <c r="C32" s="6" t="s">
        <v>242</v>
      </c>
      <c r="D32" s="6" t="s">
        <v>142</v>
      </c>
      <c r="E32" s="6" t="s">
        <v>243</v>
      </c>
      <c r="F32" s="12" t="s">
        <v>37</v>
      </c>
      <c r="G32" s="16">
        <f t="shared" si="1"/>
        <v>0.5</v>
      </c>
      <c r="H32" s="6" t="s">
        <v>105</v>
      </c>
      <c r="I32" s="6" t="s">
        <v>106</v>
      </c>
      <c r="J32" s="12" t="s">
        <v>17</v>
      </c>
      <c r="K32" s="6" t="s">
        <v>244</v>
      </c>
    </row>
    <row r="33" ht="23.25" customHeight="1">
      <c r="A33" s="10" t="s">
        <v>245</v>
      </c>
      <c r="B33" s="6" t="s">
        <v>246</v>
      </c>
      <c r="C33" s="6" t="s">
        <v>247</v>
      </c>
      <c r="D33" s="6" t="s">
        <v>132</v>
      </c>
      <c r="E33" s="6" t="s">
        <v>248</v>
      </c>
      <c r="F33" s="12" t="s">
        <v>43</v>
      </c>
      <c r="G33" s="16">
        <f t="shared" si="1"/>
        <v>0</v>
      </c>
      <c r="H33" s="6" t="s">
        <v>105</v>
      </c>
      <c r="I33" s="6" t="s">
        <v>106</v>
      </c>
      <c r="J33" s="12" t="s">
        <v>17</v>
      </c>
      <c r="K33" s="6" t="s">
        <v>249</v>
      </c>
    </row>
    <row r="34" ht="15.0" customHeight="1">
      <c r="A34" s="10" t="s">
        <v>250</v>
      </c>
      <c r="B34" s="6" t="s">
        <v>246</v>
      </c>
      <c r="C34" s="6" t="s">
        <v>251</v>
      </c>
      <c r="D34" s="6" t="s">
        <v>252</v>
      </c>
      <c r="E34" s="6" t="s">
        <v>253</v>
      </c>
      <c r="F34" s="12" t="s">
        <v>37</v>
      </c>
      <c r="G34" s="16">
        <f t="shared" si="1"/>
        <v>0.5</v>
      </c>
      <c r="H34" s="6" t="s">
        <v>105</v>
      </c>
      <c r="I34" s="6" t="s">
        <v>106</v>
      </c>
      <c r="J34" s="12" t="s">
        <v>17</v>
      </c>
      <c r="K34" s="6" t="s">
        <v>253</v>
      </c>
    </row>
    <row r="35" ht="23.25" customHeight="1">
      <c r="A35" s="10" t="s">
        <v>254</v>
      </c>
      <c r="B35" s="6" t="s">
        <v>246</v>
      </c>
      <c r="C35" s="6" t="s">
        <v>255</v>
      </c>
      <c r="D35" s="6" t="s">
        <v>142</v>
      </c>
      <c r="E35" s="6" t="s">
        <v>256</v>
      </c>
      <c r="F35" s="12" t="s">
        <v>43</v>
      </c>
      <c r="G35" s="16">
        <f t="shared" si="1"/>
        <v>0</v>
      </c>
      <c r="H35" s="6" t="s">
        <v>105</v>
      </c>
      <c r="I35" s="6" t="s">
        <v>106</v>
      </c>
      <c r="J35" s="12" t="s">
        <v>17</v>
      </c>
      <c r="K35" s="6" t="s">
        <v>257</v>
      </c>
    </row>
    <row r="36" ht="23.25" customHeight="1">
      <c r="A36" s="10" t="s">
        <v>258</v>
      </c>
      <c r="B36" s="6" t="s">
        <v>259</v>
      </c>
      <c r="C36" s="6" t="s">
        <v>260</v>
      </c>
      <c r="D36" s="6" t="s">
        <v>142</v>
      </c>
      <c r="E36" s="6" t="s">
        <v>261</v>
      </c>
      <c r="F36" s="12" t="s">
        <v>37</v>
      </c>
      <c r="G36" s="16">
        <f t="shared" si="1"/>
        <v>0.5</v>
      </c>
      <c r="H36" s="6" t="s">
        <v>105</v>
      </c>
      <c r="I36" s="6" t="s">
        <v>106</v>
      </c>
      <c r="J36" s="12" t="s">
        <v>17</v>
      </c>
      <c r="K36" s="6" t="s">
        <v>262</v>
      </c>
    </row>
    <row r="37" ht="23.25" customHeight="1">
      <c r="A37" s="10" t="s">
        <v>263</v>
      </c>
      <c r="B37" s="6" t="s">
        <v>259</v>
      </c>
      <c r="C37" s="6" t="s">
        <v>264</v>
      </c>
      <c r="D37" s="6" t="s">
        <v>142</v>
      </c>
      <c r="E37" s="6" t="s">
        <v>265</v>
      </c>
      <c r="F37" s="12" t="s">
        <v>43</v>
      </c>
      <c r="G37" s="16">
        <f t="shared" si="1"/>
        <v>0</v>
      </c>
      <c r="H37" s="6" t="s">
        <v>105</v>
      </c>
      <c r="I37" s="6" t="s">
        <v>106</v>
      </c>
      <c r="J37" s="12" t="s">
        <v>46</v>
      </c>
      <c r="K37" s="6" t="s">
        <v>266</v>
      </c>
    </row>
    <row r="38" ht="15.0" customHeight="1">
      <c r="A38" s="10" t="s">
        <v>267</v>
      </c>
      <c r="B38" s="6" t="s">
        <v>268</v>
      </c>
      <c r="C38" s="6" t="s">
        <v>269</v>
      </c>
      <c r="D38" s="6" t="s">
        <v>252</v>
      </c>
      <c r="E38" s="6" t="s">
        <v>270</v>
      </c>
      <c r="F38" s="12" t="s">
        <v>37</v>
      </c>
      <c r="G38" s="16">
        <f t="shared" si="1"/>
        <v>0.5</v>
      </c>
      <c r="H38" s="6" t="s">
        <v>105</v>
      </c>
      <c r="I38" s="6" t="s">
        <v>106</v>
      </c>
      <c r="J38" s="12" t="s">
        <v>17</v>
      </c>
      <c r="K38" s="6" t="s">
        <v>271</v>
      </c>
    </row>
    <row r="39" ht="23.25" customHeight="1">
      <c r="A39" s="10" t="s">
        <v>272</v>
      </c>
      <c r="B39" s="6" t="s">
        <v>268</v>
      </c>
      <c r="C39" s="6" t="s">
        <v>273</v>
      </c>
      <c r="D39" s="6" t="s">
        <v>142</v>
      </c>
      <c r="E39" s="6" t="s">
        <v>274</v>
      </c>
      <c r="F39" s="12" t="s">
        <v>34</v>
      </c>
      <c r="G39" s="16">
        <f t="shared" si="1"/>
        <v>1</v>
      </c>
      <c r="H39" s="6" t="s">
        <v>105</v>
      </c>
      <c r="I39" s="6" t="s">
        <v>106</v>
      </c>
      <c r="J39" s="12" t="s">
        <v>17</v>
      </c>
      <c r="K39" s="6" t="s">
        <v>275</v>
      </c>
    </row>
    <row r="40" ht="23.25" customHeight="1">
      <c r="A40" s="10" t="s">
        <v>276</v>
      </c>
      <c r="B40" s="6" t="s">
        <v>268</v>
      </c>
      <c r="C40" s="6" t="s">
        <v>277</v>
      </c>
      <c r="D40" s="6" t="s">
        <v>142</v>
      </c>
      <c r="E40" s="6" t="s">
        <v>278</v>
      </c>
      <c r="F40" s="12" t="s">
        <v>43</v>
      </c>
      <c r="G40" s="16">
        <f t="shared" si="1"/>
        <v>0</v>
      </c>
      <c r="H40" s="6" t="s">
        <v>279</v>
      </c>
      <c r="I40" s="6" t="s">
        <v>121</v>
      </c>
      <c r="J40" s="12" t="s">
        <v>46</v>
      </c>
      <c r="K40" s="6" t="s">
        <v>280</v>
      </c>
    </row>
    <row r="41" ht="23.25" customHeight="1">
      <c r="A41" s="10" t="s">
        <v>281</v>
      </c>
      <c r="B41" s="6" t="s">
        <v>282</v>
      </c>
      <c r="C41" s="6" t="s">
        <v>283</v>
      </c>
      <c r="D41" s="6" t="s">
        <v>132</v>
      </c>
      <c r="E41" s="6" t="s">
        <v>284</v>
      </c>
      <c r="F41" s="12" t="s">
        <v>43</v>
      </c>
      <c r="G41" s="16">
        <f t="shared" si="1"/>
        <v>0</v>
      </c>
      <c r="H41" s="6" t="s">
        <v>41</v>
      </c>
      <c r="I41" s="6" t="s">
        <v>121</v>
      </c>
      <c r="J41" s="12" t="s">
        <v>95</v>
      </c>
      <c r="K41" s="6" t="s">
        <v>285</v>
      </c>
    </row>
    <row r="42" ht="15.0" customHeight="1">
      <c r="A42" s="10" t="s">
        <v>286</v>
      </c>
      <c r="B42" s="6" t="s">
        <v>282</v>
      </c>
      <c r="C42" s="6" t="s">
        <v>287</v>
      </c>
      <c r="D42" s="6" t="s">
        <v>288</v>
      </c>
      <c r="E42" s="6" t="s">
        <v>289</v>
      </c>
      <c r="F42" s="12" t="s">
        <v>34</v>
      </c>
      <c r="G42" s="16">
        <f t="shared" si="1"/>
        <v>1</v>
      </c>
      <c r="H42" s="6" t="s">
        <v>41</v>
      </c>
      <c r="I42" s="6" t="s">
        <v>106</v>
      </c>
      <c r="J42" s="12" t="s">
        <v>17</v>
      </c>
      <c r="K42" s="6" t="s">
        <v>290</v>
      </c>
    </row>
    <row r="43" ht="23.25" customHeight="1">
      <c r="A43" s="10" t="s">
        <v>291</v>
      </c>
      <c r="B43" s="6" t="s">
        <v>282</v>
      </c>
      <c r="C43" s="6" t="s">
        <v>292</v>
      </c>
      <c r="D43" s="6" t="s">
        <v>142</v>
      </c>
      <c r="E43" s="6" t="s">
        <v>293</v>
      </c>
      <c r="F43" s="12" t="s">
        <v>43</v>
      </c>
      <c r="G43" s="16">
        <f t="shared" si="1"/>
        <v>0</v>
      </c>
      <c r="H43" s="6" t="s">
        <v>41</v>
      </c>
      <c r="I43" s="6" t="s">
        <v>121</v>
      </c>
      <c r="J43" s="12" t="s">
        <v>95</v>
      </c>
      <c r="K43" s="6" t="s">
        <v>294</v>
      </c>
    </row>
    <row r="44" ht="23.25" customHeight="1">
      <c r="A44" s="10" t="s">
        <v>295</v>
      </c>
      <c r="B44" s="6" t="s">
        <v>282</v>
      </c>
      <c r="C44" s="6" t="s">
        <v>296</v>
      </c>
      <c r="D44" s="6" t="s">
        <v>288</v>
      </c>
      <c r="E44" s="6" t="s">
        <v>297</v>
      </c>
      <c r="F44" s="12" t="s">
        <v>43</v>
      </c>
      <c r="G44" s="16">
        <f t="shared" si="1"/>
        <v>0</v>
      </c>
      <c r="H44" s="6" t="s">
        <v>41</v>
      </c>
      <c r="I44" s="6" t="s">
        <v>121</v>
      </c>
      <c r="J44" s="12" t="s">
        <v>95</v>
      </c>
      <c r="K44" s="6" t="s">
        <v>298</v>
      </c>
    </row>
    <row r="45" ht="23.25" customHeight="1">
      <c r="A45" s="10" t="s">
        <v>299</v>
      </c>
      <c r="B45" s="6" t="s">
        <v>300</v>
      </c>
      <c r="C45" s="6" t="s">
        <v>301</v>
      </c>
      <c r="D45" s="6" t="s">
        <v>142</v>
      </c>
      <c r="E45" s="6" t="s">
        <v>302</v>
      </c>
      <c r="F45" s="12" t="s">
        <v>43</v>
      </c>
      <c r="G45" s="16">
        <f t="shared" si="1"/>
        <v>0</v>
      </c>
      <c r="H45" s="6" t="s">
        <v>53</v>
      </c>
      <c r="I45" s="6" t="s">
        <v>121</v>
      </c>
      <c r="J45" s="12" t="s">
        <v>95</v>
      </c>
      <c r="K45" s="6" t="s">
        <v>303</v>
      </c>
    </row>
    <row r="46" ht="23.25" customHeight="1">
      <c r="A46" s="10" t="s">
        <v>304</v>
      </c>
      <c r="B46" s="6" t="s">
        <v>305</v>
      </c>
      <c r="C46" s="6" t="s">
        <v>306</v>
      </c>
      <c r="D46" s="6" t="s">
        <v>132</v>
      </c>
      <c r="E46" s="6" t="s">
        <v>307</v>
      </c>
      <c r="F46" s="12" t="s">
        <v>43</v>
      </c>
      <c r="G46" s="16">
        <f t="shared" si="1"/>
        <v>0</v>
      </c>
      <c r="H46" s="6" t="s">
        <v>57</v>
      </c>
      <c r="I46" s="6" t="s">
        <v>121</v>
      </c>
      <c r="J46" s="12" t="s">
        <v>95</v>
      </c>
      <c r="K46" s="6" t="s">
        <v>308</v>
      </c>
    </row>
    <row r="47" ht="23.25" customHeight="1">
      <c r="A47" s="10" t="s">
        <v>309</v>
      </c>
      <c r="B47" s="6" t="s">
        <v>305</v>
      </c>
      <c r="C47" s="6" t="s">
        <v>310</v>
      </c>
      <c r="D47" s="6" t="s">
        <v>142</v>
      </c>
      <c r="E47" s="6" t="s">
        <v>311</v>
      </c>
      <c r="F47" s="12" t="s">
        <v>43</v>
      </c>
      <c r="G47" s="16">
        <f t="shared" si="1"/>
        <v>0</v>
      </c>
      <c r="H47" s="6" t="s">
        <v>57</v>
      </c>
      <c r="I47" s="6" t="s">
        <v>121</v>
      </c>
      <c r="J47" s="12" t="s">
        <v>95</v>
      </c>
      <c r="K47" s="6" t="s">
        <v>312</v>
      </c>
    </row>
    <row r="48" ht="23.25" customHeight="1">
      <c r="A48" s="10" t="s">
        <v>313</v>
      </c>
      <c r="B48" s="6" t="s">
        <v>305</v>
      </c>
      <c r="C48" s="6" t="s">
        <v>314</v>
      </c>
      <c r="D48" s="6" t="s">
        <v>142</v>
      </c>
      <c r="E48" s="6" t="s">
        <v>315</v>
      </c>
      <c r="F48" s="12" t="s">
        <v>43</v>
      </c>
      <c r="G48" s="16">
        <f t="shared" si="1"/>
        <v>0</v>
      </c>
      <c r="H48" s="6" t="s">
        <v>316</v>
      </c>
      <c r="I48" s="6" t="s">
        <v>121</v>
      </c>
      <c r="J48" s="12" t="s">
        <v>46</v>
      </c>
      <c r="K48" s="6" t="s">
        <v>317</v>
      </c>
    </row>
    <row r="49" ht="23.25" customHeight="1">
      <c r="A49" s="10" t="s">
        <v>318</v>
      </c>
      <c r="B49" s="6" t="s">
        <v>305</v>
      </c>
      <c r="C49" s="6" t="s">
        <v>319</v>
      </c>
      <c r="D49" s="6" t="s">
        <v>142</v>
      </c>
      <c r="E49" s="6" t="s">
        <v>320</v>
      </c>
      <c r="F49" s="12" t="s">
        <v>43</v>
      </c>
      <c r="G49" s="16">
        <f t="shared" si="1"/>
        <v>0</v>
      </c>
      <c r="H49" s="6" t="s">
        <v>57</v>
      </c>
      <c r="I49" s="6" t="s">
        <v>121</v>
      </c>
      <c r="J49" s="12" t="s">
        <v>95</v>
      </c>
      <c r="K49" s="6" t="s">
        <v>321</v>
      </c>
    </row>
    <row r="50" ht="23.25" customHeight="1">
      <c r="A50" s="10" t="s">
        <v>322</v>
      </c>
      <c r="B50" s="6" t="s">
        <v>305</v>
      </c>
      <c r="C50" s="6" t="s">
        <v>323</v>
      </c>
      <c r="D50" s="6" t="s">
        <v>142</v>
      </c>
      <c r="E50" s="6" t="s">
        <v>324</v>
      </c>
      <c r="F50" s="12" t="s">
        <v>43</v>
      </c>
      <c r="G50" s="16">
        <f t="shared" si="1"/>
        <v>0</v>
      </c>
      <c r="H50" s="6" t="s">
        <v>325</v>
      </c>
      <c r="I50" s="6" t="s">
        <v>106</v>
      </c>
      <c r="J50" s="12" t="s">
        <v>95</v>
      </c>
      <c r="K50" s="6" t="s">
        <v>326</v>
      </c>
    </row>
    <row r="51" ht="23.25" customHeight="1">
      <c r="A51" s="10" t="s">
        <v>327</v>
      </c>
      <c r="B51" s="6" t="s">
        <v>305</v>
      </c>
      <c r="C51" s="6" t="s">
        <v>328</v>
      </c>
      <c r="D51" s="6" t="s">
        <v>142</v>
      </c>
      <c r="E51" s="6" t="s">
        <v>329</v>
      </c>
      <c r="F51" s="12" t="s">
        <v>43</v>
      </c>
      <c r="G51" s="16">
        <f t="shared" si="1"/>
        <v>0</v>
      </c>
      <c r="H51" s="6" t="s">
        <v>105</v>
      </c>
      <c r="I51" s="6" t="s">
        <v>106</v>
      </c>
      <c r="J51" s="12" t="s">
        <v>17</v>
      </c>
      <c r="K51" s="6" t="s">
        <v>330</v>
      </c>
    </row>
    <row r="52" ht="34.5" customHeight="1">
      <c r="A52" s="10" t="s">
        <v>331</v>
      </c>
      <c r="B52" s="6" t="s">
        <v>305</v>
      </c>
      <c r="C52" s="6" t="s">
        <v>332</v>
      </c>
      <c r="D52" s="6" t="s">
        <v>142</v>
      </c>
      <c r="E52" s="6" t="s">
        <v>333</v>
      </c>
      <c r="F52" s="12" t="s">
        <v>43</v>
      </c>
      <c r="G52" s="16">
        <f t="shared" si="1"/>
        <v>0</v>
      </c>
      <c r="H52" s="6" t="s">
        <v>105</v>
      </c>
      <c r="I52" s="6" t="s">
        <v>106</v>
      </c>
      <c r="J52" s="12" t="s">
        <v>17</v>
      </c>
      <c r="K52" s="6" t="s">
        <v>334</v>
      </c>
    </row>
    <row r="53" ht="34.5" customHeight="1">
      <c r="A53" s="10" t="s">
        <v>335</v>
      </c>
      <c r="B53" s="6" t="s">
        <v>305</v>
      </c>
      <c r="C53" s="6" t="s">
        <v>336</v>
      </c>
      <c r="D53" s="6" t="s">
        <v>142</v>
      </c>
      <c r="E53" s="6" t="s">
        <v>337</v>
      </c>
      <c r="F53" s="12" t="s">
        <v>43</v>
      </c>
      <c r="G53" s="16">
        <f t="shared" si="1"/>
        <v>0</v>
      </c>
      <c r="H53" s="6" t="s">
        <v>78</v>
      </c>
      <c r="I53" s="6" t="s">
        <v>121</v>
      </c>
      <c r="J53" s="12" t="s">
        <v>95</v>
      </c>
      <c r="K53" s="6" t="s">
        <v>338</v>
      </c>
    </row>
    <row r="54" ht="23.25" customHeight="1">
      <c r="A54" s="10" t="s">
        <v>87</v>
      </c>
      <c r="B54" s="6" t="s">
        <v>339</v>
      </c>
      <c r="C54" s="6" t="s">
        <v>340</v>
      </c>
      <c r="D54" s="6" t="s">
        <v>73</v>
      </c>
      <c r="E54" s="6" t="s">
        <v>341</v>
      </c>
      <c r="F54" s="12" t="s">
        <v>43</v>
      </c>
      <c r="G54" s="16">
        <f t="shared" si="1"/>
        <v>0</v>
      </c>
      <c r="H54" s="6" t="s">
        <v>89</v>
      </c>
      <c r="I54" s="6" t="s">
        <v>106</v>
      </c>
      <c r="J54" s="12" t="s">
        <v>95</v>
      </c>
      <c r="K54" s="6" t="s">
        <v>342</v>
      </c>
    </row>
    <row r="55" ht="15.0" customHeight="1">
      <c r="A55" s="10" t="s">
        <v>62</v>
      </c>
      <c r="B55" s="6" t="s">
        <v>343</v>
      </c>
      <c r="C55" s="6" t="s">
        <v>344</v>
      </c>
      <c r="D55" s="6" t="s">
        <v>110</v>
      </c>
      <c r="E55" s="6" t="s">
        <v>345</v>
      </c>
      <c r="F55" s="12" t="s">
        <v>43</v>
      </c>
      <c r="G55" s="16">
        <f t="shared" si="1"/>
        <v>0</v>
      </c>
      <c r="H55" s="6" t="s">
        <v>105</v>
      </c>
      <c r="I55" s="6" t="s">
        <v>106</v>
      </c>
      <c r="J55" s="12" t="s">
        <v>46</v>
      </c>
      <c r="K55" s="6" t="s">
        <v>346</v>
      </c>
    </row>
    <row r="56" ht="23.25" customHeight="1">
      <c r="A56" s="10" t="s">
        <v>347</v>
      </c>
      <c r="B56" s="6" t="s">
        <v>343</v>
      </c>
      <c r="C56" s="6" t="s">
        <v>348</v>
      </c>
      <c r="D56" s="6" t="s">
        <v>132</v>
      </c>
      <c r="E56" s="6" t="s">
        <v>349</v>
      </c>
      <c r="F56" s="12" t="s">
        <v>43</v>
      </c>
      <c r="G56" s="16">
        <f t="shared" si="1"/>
        <v>0</v>
      </c>
      <c r="H56" s="6" t="s">
        <v>105</v>
      </c>
      <c r="I56" s="6" t="s">
        <v>106</v>
      </c>
      <c r="J56" s="12" t="s">
        <v>17</v>
      </c>
      <c r="K56" s="6" t="s">
        <v>350</v>
      </c>
    </row>
    <row r="57" ht="23.25" customHeight="1">
      <c r="A57" s="10" t="s">
        <v>351</v>
      </c>
      <c r="B57" s="6" t="s">
        <v>343</v>
      </c>
      <c r="C57" s="6" t="s">
        <v>352</v>
      </c>
      <c r="D57" s="6" t="s">
        <v>132</v>
      </c>
      <c r="E57" s="6" t="s">
        <v>353</v>
      </c>
      <c r="F57" s="12" t="s">
        <v>43</v>
      </c>
      <c r="G57" s="16">
        <f t="shared" si="1"/>
        <v>0</v>
      </c>
      <c r="H57" s="6" t="s">
        <v>105</v>
      </c>
      <c r="I57" s="6" t="s">
        <v>106</v>
      </c>
      <c r="J57" s="12" t="s">
        <v>17</v>
      </c>
      <c r="K57" s="6" t="s">
        <v>354</v>
      </c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57"/>
  <conditionalFormatting sqref="F2:F57">
    <cfRule type="cellIs" dxfId="0" priority="1" operator="equal">
      <formula>"Implemented"</formula>
    </cfRule>
  </conditionalFormatting>
  <conditionalFormatting sqref="F2:F57">
    <cfRule type="cellIs" dxfId="1" priority="2" operator="equal">
      <formula>"Partial"</formula>
    </cfRule>
  </conditionalFormatting>
  <conditionalFormatting sqref="F2:F57">
    <cfRule type="cellIs" dxfId="2" priority="3" operator="equal">
      <formula>"Not Implemented"</formula>
    </cfRule>
  </conditionalFormatting>
  <dataValidations>
    <dataValidation type="list" allowBlank="1" sqref="F2:F57">
      <formula1>"Implemented,Partial,Not Implemented"</formula1>
    </dataValidation>
    <dataValidation type="list" allowBlank="1" sqref="J2:J57">
      <formula1>"High,Medium,Low"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2" width="14.0"/>
    <col customWidth="1" min="3" max="3" width="10.0"/>
    <col customWidth="1" min="4" max="4" width="13.0"/>
    <col customWidth="1" min="5" max="5" width="10.0"/>
    <col customWidth="1" min="6" max="6" width="16.0"/>
    <col customWidth="1" min="7" max="7" width="12.0"/>
  </cols>
  <sheetData>
    <row r="1" ht="15.0" customHeight="1">
      <c r="A1" s="4" t="s">
        <v>2</v>
      </c>
      <c r="B1" s="4" t="s">
        <v>29</v>
      </c>
      <c r="C1" s="4" t="s">
        <v>31</v>
      </c>
      <c r="D1" s="4" t="s">
        <v>34</v>
      </c>
      <c r="E1" s="4" t="s">
        <v>37</v>
      </c>
      <c r="F1" s="4" t="s">
        <v>43</v>
      </c>
      <c r="G1" s="4" t="s">
        <v>48</v>
      </c>
    </row>
    <row r="2" ht="15.0" customHeight="1">
      <c r="A2" s="11" t="s">
        <v>58</v>
      </c>
      <c r="B2" s="11">
        <f>COUNTIF('Gap Assessment'!$B$2:$B$57,A2)</f>
        <v>2</v>
      </c>
      <c r="C2" s="11">
        <f>COUNTIFS('Gap Assessment'!$B$2:$B$57,A2,'Gap Assessment'!$F$2:$F$57,"&lt;&gt;")</f>
        <v>2</v>
      </c>
      <c r="D2" s="11">
        <f>COUNTIFS('Gap Assessment'!$B$2:$B$57,A2,'Gap Assessment'!$F$2:$F$57,"Implemented")</f>
        <v>0</v>
      </c>
      <c r="E2" s="11">
        <f>COUNTIFS('Gap Assessment'!$B$2:$B$57,A2,'Gap Assessment'!$F$2:$F$57,"Partial")</f>
        <v>1</v>
      </c>
      <c r="F2" s="11">
        <f>COUNTIFS('Gap Assessment'!$B$2:$B$57,A2,'Gap Assessment'!$F$2:$F$57,"Not Implemented")</f>
        <v>1</v>
      </c>
      <c r="G2" s="19">
        <f t="shared" ref="G2:G17" si="1">IF(C2=0,"-",(D2+0.5*E2)/C2)</f>
        <v>0.25</v>
      </c>
    </row>
    <row r="3" ht="15.0" customHeight="1">
      <c r="A3" s="11" t="s">
        <v>115</v>
      </c>
      <c r="B3" s="11">
        <f>COUNTIF('Gap Assessment'!$B$2:$B$57,A3)</f>
        <v>3</v>
      </c>
      <c r="C3" s="11">
        <f>COUNTIFS('Gap Assessment'!$B$2:$B$57,A3,'Gap Assessment'!$F$2:$F$57,"&lt;&gt;")</f>
        <v>3</v>
      </c>
      <c r="D3" s="11">
        <f>COUNTIFS('Gap Assessment'!$B$2:$B$57,A3,'Gap Assessment'!$F$2:$F$57,"Implemented")</f>
        <v>0</v>
      </c>
      <c r="E3" s="11">
        <f>COUNTIFS('Gap Assessment'!$B$2:$B$57,A3,'Gap Assessment'!$F$2:$F$57,"Partial")</f>
        <v>0</v>
      </c>
      <c r="F3" s="11">
        <f>COUNTIFS('Gap Assessment'!$B$2:$B$57,A3,'Gap Assessment'!$F$2:$F$57,"Not Implemented")</f>
        <v>3</v>
      </c>
      <c r="G3" s="19">
        <f t="shared" si="1"/>
        <v>0</v>
      </c>
    </row>
    <row r="4" ht="15.0" customHeight="1">
      <c r="A4" s="11" t="s">
        <v>130</v>
      </c>
      <c r="B4" s="11">
        <f>COUNTIF('Gap Assessment'!$B$2:$B$57,A4)</f>
        <v>6</v>
      </c>
      <c r="C4" s="11">
        <f>COUNTIFS('Gap Assessment'!$B$2:$B$57,A4,'Gap Assessment'!$F$2:$F$57,"&lt;&gt;")</f>
        <v>6</v>
      </c>
      <c r="D4" s="11">
        <f>COUNTIFS('Gap Assessment'!$B$2:$B$57,A4,'Gap Assessment'!$F$2:$F$57,"Implemented")</f>
        <v>0</v>
      </c>
      <c r="E4" s="11">
        <f>COUNTIFS('Gap Assessment'!$B$2:$B$57,A4,'Gap Assessment'!$F$2:$F$57,"Partial")</f>
        <v>1</v>
      </c>
      <c r="F4" s="11">
        <f>COUNTIFS('Gap Assessment'!$B$2:$B$57,A4,'Gap Assessment'!$F$2:$F$57,"Not Implemented")</f>
        <v>5</v>
      </c>
      <c r="G4" s="19">
        <f t="shared" si="1"/>
        <v>0.08333333333</v>
      </c>
    </row>
    <row r="5" ht="15.0" customHeight="1">
      <c r="A5" s="11" t="s">
        <v>158</v>
      </c>
      <c r="B5" s="11">
        <f>COUNTIF('Gap Assessment'!$B$2:$B$57,A5)</f>
        <v>7</v>
      </c>
      <c r="C5" s="11">
        <f>COUNTIFS('Gap Assessment'!$B$2:$B$57,A5,'Gap Assessment'!$F$2:$F$57,"&lt;&gt;")</f>
        <v>7</v>
      </c>
      <c r="D5" s="11">
        <f>COUNTIFS('Gap Assessment'!$B$2:$B$57,A5,'Gap Assessment'!$F$2:$F$57,"Implemented")</f>
        <v>0</v>
      </c>
      <c r="E5" s="11">
        <f>COUNTIFS('Gap Assessment'!$B$2:$B$57,A5,'Gap Assessment'!$F$2:$F$57,"Partial")</f>
        <v>3</v>
      </c>
      <c r="F5" s="11">
        <f>COUNTIFS('Gap Assessment'!$B$2:$B$57,A5,'Gap Assessment'!$F$2:$F$57,"Not Implemented")</f>
        <v>4</v>
      </c>
      <c r="G5" s="19">
        <f t="shared" si="1"/>
        <v>0.2142857143</v>
      </c>
    </row>
    <row r="6" ht="15.0" customHeight="1">
      <c r="A6" s="11" t="s">
        <v>187</v>
      </c>
      <c r="B6" s="11">
        <f>COUNTIF('Gap Assessment'!$B$2:$B$57,A6)</f>
        <v>4</v>
      </c>
      <c r="C6" s="11">
        <f>COUNTIFS('Gap Assessment'!$B$2:$B$57,A6,'Gap Assessment'!$F$2:$F$57,"&lt;&gt;")</f>
        <v>4</v>
      </c>
      <c r="D6" s="11">
        <f>COUNTIFS('Gap Assessment'!$B$2:$B$57,A6,'Gap Assessment'!$F$2:$F$57,"Implemented")</f>
        <v>0</v>
      </c>
      <c r="E6" s="11">
        <f>COUNTIFS('Gap Assessment'!$B$2:$B$57,A6,'Gap Assessment'!$F$2:$F$57,"Partial")</f>
        <v>0</v>
      </c>
      <c r="F6" s="11">
        <f>COUNTIFS('Gap Assessment'!$B$2:$B$57,A6,'Gap Assessment'!$F$2:$F$57,"Not Implemented")</f>
        <v>4</v>
      </c>
      <c r="G6" s="19">
        <f t="shared" si="1"/>
        <v>0</v>
      </c>
    </row>
    <row r="7" ht="15.0" customHeight="1">
      <c r="A7" s="11" t="s">
        <v>207</v>
      </c>
      <c r="B7" s="11">
        <f>COUNTIF('Gap Assessment'!$B$2:$B$57,A7)</f>
        <v>5</v>
      </c>
      <c r="C7" s="11">
        <f>COUNTIFS('Gap Assessment'!$B$2:$B$57,A7,'Gap Assessment'!$F$2:$F$57,"&lt;&gt;")</f>
        <v>5</v>
      </c>
      <c r="D7" s="11">
        <f>COUNTIFS('Gap Assessment'!$B$2:$B$57,A7,'Gap Assessment'!$F$2:$F$57,"Implemented")</f>
        <v>0</v>
      </c>
      <c r="E7" s="11">
        <f>COUNTIFS('Gap Assessment'!$B$2:$B$57,A7,'Gap Assessment'!$F$2:$F$57,"Partial")</f>
        <v>1</v>
      </c>
      <c r="F7" s="11">
        <f>COUNTIFS('Gap Assessment'!$B$2:$B$57,A7,'Gap Assessment'!$F$2:$F$57,"Not Implemented")</f>
        <v>4</v>
      </c>
      <c r="G7" s="19">
        <f t="shared" si="1"/>
        <v>0.1</v>
      </c>
    </row>
    <row r="8" ht="15.0" customHeight="1">
      <c r="A8" s="11" t="s">
        <v>229</v>
      </c>
      <c r="B8" s="11">
        <f>COUNTIF('Gap Assessment'!$B$2:$B$57,A8)</f>
        <v>4</v>
      </c>
      <c r="C8" s="11">
        <f>COUNTIFS('Gap Assessment'!$B$2:$B$57,A8,'Gap Assessment'!$F$2:$F$57,"&lt;&gt;")</f>
        <v>4</v>
      </c>
      <c r="D8" s="11">
        <f>COUNTIFS('Gap Assessment'!$B$2:$B$57,A8,'Gap Assessment'!$F$2:$F$57,"Implemented")</f>
        <v>0</v>
      </c>
      <c r="E8" s="11">
        <f>COUNTIFS('Gap Assessment'!$B$2:$B$57,A8,'Gap Assessment'!$F$2:$F$57,"Partial")</f>
        <v>2</v>
      </c>
      <c r="F8" s="11">
        <f>COUNTIFS('Gap Assessment'!$B$2:$B$57,A8,'Gap Assessment'!$F$2:$F$57,"Not Implemented")</f>
        <v>2</v>
      </c>
      <c r="G8" s="19">
        <f t="shared" si="1"/>
        <v>0.25</v>
      </c>
    </row>
    <row r="9" ht="15.0" customHeight="1">
      <c r="A9" s="11" t="s">
        <v>246</v>
      </c>
      <c r="B9" s="11">
        <f>COUNTIF('Gap Assessment'!$B$2:$B$57,A9)</f>
        <v>3</v>
      </c>
      <c r="C9" s="11">
        <f>COUNTIFS('Gap Assessment'!$B$2:$B$57,A9,'Gap Assessment'!$F$2:$F$57,"&lt;&gt;")</f>
        <v>3</v>
      </c>
      <c r="D9" s="11">
        <f>COUNTIFS('Gap Assessment'!$B$2:$B$57,A9,'Gap Assessment'!$F$2:$F$57,"Implemented")</f>
        <v>0</v>
      </c>
      <c r="E9" s="11">
        <f>COUNTIFS('Gap Assessment'!$B$2:$B$57,A9,'Gap Assessment'!$F$2:$F$57,"Partial")</f>
        <v>1</v>
      </c>
      <c r="F9" s="11">
        <f>COUNTIFS('Gap Assessment'!$B$2:$B$57,A9,'Gap Assessment'!$F$2:$F$57,"Not Implemented")</f>
        <v>2</v>
      </c>
      <c r="G9" s="19">
        <f t="shared" si="1"/>
        <v>0.1666666667</v>
      </c>
    </row>
    <row r="10" ht="15.0" customHeight="1">
      <c r="A10" s="11" t="s">
        <v>259</v>
      </c>
      <c r="B10" s="11">
        <f>COUNTIF('Gap Assessment'!$B$2:$B$57,A10)</f>
        <v>2</v>
      </c>
      <c r="C10" s="11">
        <f>COUNTIFS('Gap Assessment'!$B$2:$B$57,A10,'Gap Assessment'!$F$2:$F$57,"&lt;&gt;")</f>
        <v>2</v>
      </c>
      <c r="D10" s="11">
        <f>COUNTIFS('Gap Assessment'!$B$2:$B$57,A10,'Gap Assessment'!$F$2:$F$57,"Implemented")</f>
        <v>0</v>
      </c>
      <c r="E10" s="11">
        <f>COUNTIFS('Gap Assessment'!$B$2:$B$57,A10,'Gap Assessment'!$F$2:$F$57,"Partial")</f>
        <v>1</v>
      </c>
      <c r="F10" s="11">
        <f>COUNTIFS('Gap Assessment'!$B$2:$B$57,A10,'Gap Assessment'!$F$2:$F$57,"Not Implemented")</f>
        <v>1</v>
      </c>
      <c r="G10" s="19">
        <f t="shared" si="1"/>
        <v>0.25</v>
      </c>
    </row>
    <row r="11" ht="15.0" customHeight="1">
      <c r="A11" s="11" t="s">
        <v>268</v>
      </c>
      <c r="B11" s="11">
        <f>COUNTIF('Gap Assessment'!$B$2:$B$57,A11)</f>
        <v>3</v>
      </c>
      <c r="C11" s="11">
        <f>COUNTIFS('Gap Assessment'!$B$2:$B$57,A11,'Gap Assessment'!$F$2:$F$57,"&lt;&gt;")</f>
        <v>3</v>
      </c>
      <c r="D11" s="11">
        <f>COUNTIFS('Gap Assessment'!$B$2:$B$57,A11,'Gap Assessment'!$F$2:$F$57,"Implemented")</f>
        <v>1</v>
      </c>
      <c r="E11" s="11">
        <f>COUNTIFS('Gap Assessment'!$B$2:$B$57,A11,'Gap Assessment'!$F$2:$F$57,"Partial")</f>
        <v>1</v>
      </c>
      <c r="F11" s="11">
        <f>COUNTIFS('Gap Assessment'!$B$2:$B$57,A11,'Gap Assessment'!$F$2:$F$57,"Not Implemented")</f>
        <v>1</v>
      </c>
      <c r="G11" s="19">
        <f t="shared" si="1"/>
        <v>0.5</v>
      </c>
    </row>
    <row r="12" ht="15.0" customHeight="1">
      <c r="A12" s="11" t="s">
        <v>282</v>
      </c>
      <c r="B12" s="11">
        <f>COUNTIF('Gap Assessment'!$B$2:$B$57,A12)</f>
        <v>4</v>
      </c>
      <c r="C12" s="11">
        <f>COUNTIFS('Gap Assessment'!$B$2:$B$57,A12,'Gap Assessment'!$F$2:$F$57,"&lt;&gt;")</f>
        <v>4</v>
      </c>
      <c r="D12" s="11">
        <f>COUNTIFS('Gap Assessment'!$B$2:$B$57,A12,'Gap Assessment'!$F$2:$F$57,"Implemented")</f>
        <v>1</v>
      </c>
      <c r="E12" s="11">
        <f>COUNTIFS('Gap Assessment'!$B$2:$B$57,A12,'Gap Assessment'!$F$2:$F$57,"Partial")</f>
        <v>0</v>
      </c>
      <c r="F12" s="11">
        <f>COUNTIFS('Gap Assessment'!$B$2:$B$57,A12,'Gap Assessment'!$F$2:$F$57,"Not Implemented")</f>
        <v>3</v>
      </c>
      <c r="G12" s="19">
        <f t="shared" si="1"/>
        <v>0.25</v>
      </c>
    </row>
    <row r="13" ht="15.0" customHeight="1">
      <c r="A13" s="11" t="s">
        <v>300</v>
      </c>
      <c r="B13" s="11">
        <f>COUNTIF('Gap Assessment'!$B$2:$B$57,A13)</f>
        <v>1</v>
      </c>
      <c r="C13" s="11">
        <f>COUNTIFS('Gap Assessment'!$B$2:$B$57,A13,'Gap Assessment'!$F$2:$F$57,"&lt;&gt;")</f>
        <v>1</v>
      </c>
      <c r="D13" s="11">
        <f>COUNTIFS('Gap Assessment'!$B$2:$B$57,A13,'Gap Assessment'!$F$2:$F$57,"Implemented")</f>
        <v>0</v>
      </c>
      <c r="E13" s="11">
        <f>COUNTIFS('Gap Assessment'!$B$2:$B$57,A13,'Gap Assessment'!$F$2:$F$57,"Partial")</f>
        <v>0</v>
      </c>
      <c r="F13" s="11">
        <f>COUNTIFS('Gap Assessment'!$B$2:$B$57,A13,'Gap Assessment'!$F$2:$F$57,"Not Implemented")</f>
        <v>1</v>
      </c>
      <c r="G13" s="19">
        <f t="shared" si="1"/>
        <v>0</v>
      </c>
    </row>
    <row r="14" ht="15.0" customHeight="1">
      <c r="A14" s="11" t="s">
        <v>305</v>
      </c>
      <c r="B14" s="11">
        <f>COUNTIF('Gap Assessment'!$B$2:$B$57,A14)</f>
        <v>8</v>
      </c>
      <c r="C14" s="11">
        <f>COUNTIFS('Gap Assessment'!$B$2:$B$57,A14,'Gap Assessment'!$F$2:$F$57,"&lt;&gt;")</f>
        <v>8</v>
      </c>
      <c r="D14" s="11">
        <f>COUNTIFS('Gap Assessment'!$B$2:$B$57,A14,'Gap Assessment'!$F$2:$F$57,"Implemented")</f>
        <v>0</v>
      </c>
      <c r="E14" s="11">
        <f>COUNTIFS('Gap Assessment'!$B$2:$B$57,A14,'Gap Assessment'!$F$2:$F$57,"Partial")</f>
        <v>0</v>
      </c>
      <c r="F14" s="11">
        <f>COUNTIFS('Gap Assessment'!$B$2:$B$57,A14,'Gap Assessment'!$F$2:$F$57,"Not Implemented")</f>
        <v>8</v>
      </c>
      <c r="G14" s="19">
        <f t="shared" si="1"/>
        <v>0</v>
      </c>
    </row>
    <row r="15" ht="15.0" customHeight="1">
      <c r="A15" s="11" t="s">
        <v>339</v>
      </c>
      <c r="B15" s="11">
        <f>COUNTIF('Gap Assessment'!$B$2:$B$57,A15)</f>
        <v>1</v>
      </c>
      <c r="C15" s="11">
        <f>COUNTIFS('Gap Assessment'!$B$2:$B$57,A15,'Gap Assessment'!$F$2:$F$57,"&lt;&gt;")</f>
        <v>1</v>
      </c>
      <c r="D15" s="11">
        <f>COUNTIFS('Gap Assessment'!$B$2:$B$57,A15,'Gap Assessment'!$F$2:$F$57,"Implemented")</f>
        <v>0</v>
      </c>
      <c r="E15" s="11">
        <f>COUNTIFS('Gap Assessment'!$B$2:$B$57,A15,'Gap Assessment'!$F$2:$F$57,"Partial")</f>
        <v>0</v>
      </c>
      <c r="F15" s="11">
        <f>COUNTIFS('Gap Assessment'!$B$2:$B$57,A15,'Gap Assessment'!$F$2:$F$57,"Not Implemented")</f>
        <v>1</v>
      </c>
      <c r="G15" s="19">
        <f t="shared" si="1"/>
        <v>0</v>
      </c>
    </row>
    <row r="16" ht="15.0" customHeight="1">
      <c r="A16" s="11" t="s">
        <v>343</v>
      </c>
      <c r="B16" s="11">
        <f>COUNTIF('Gap Assessment'!$B$2:$B$57,A16)</f>
        <v>3</v>
      </c>
      <c r="C16" s="11">
        <f>COUNTIFS('Gap Assessment'!$B$2:$B$57,A16,'Gap Assessment'!$F$2:$F$57,"&lt;&gt;")</f>
        <v>3</v>
      </c>
      <c r="D16" s="11">
        <f>COUNTIFS('Gap Assessment'!$B$2:$B$57,A16,'Gap Assessment'!$F$2:$F$57,"Implemented")</f>
        <v>0</v>
      </c>
      <c r="E16" s="11">
        <f>COUNTIFS('Gap Assessment'!$B$2:$B$57,A16,'Gap Assessment'!$F$2:$F$57,"Partial")</f>
        <v>0</v>
      </c>
      <c r="F16" s="11">
        <f>COUNTIFS('Gap Assessment'!$B$2:$B$57,A16,'Gap Assessment'!$F$2:$F$57,"Not Implemented")</f>
        <v>3</v>
      </c>
      <c r="G16" s="19">
        <f t="shared" si="1"/>
        <v>0</v>
      </c>
    </row>
    <row r="17" ht="15.0" customHeight="1">
      <c r="A17" s="5" t="s">
        <v>355</v>
      </c>
      <c r="B17" s="5">
        <f t="shared" ref="B17:F17" si="2">SUM(B2:B16)</f>
        <v>56</v>
      </c>
      <c r="C17" s="5">
        <f t="shared" si="2"/>
        <v>56</v>
      </c>
      <c r="D17" s="5">
        <f t="shared" si="2"/>
        <v>2</v>
      </c>
      <c r="E17" s="5">
        <f t="shared" si="2"/>
        <v>11</v>
      </c>
      <c r="F17" s="5">
        <f t="shared" si="2"/>
        <v>43</v>
      </c>
      <c r="G17" s="20">
        <f t="shared" si="1"/>
        <v>0.1339285714</v>
      </c>
    </row>
    <row r="18">
      <c r="A18" s="3"/>
      <c r="B18" s="3"/>
      <c r="C18" s="3"/>
      <c r="D18" s="3"/>
      <c r="E18" s="3"/>
      <c r="F18" s="3"/>
      <c r="G18" s="3"/>
    </row>
    <row r="19" ht="15.0" customHeight="1">
      <c r="A19" s="14" t="s">
        <v>356</v>
      </c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75" customHeight="1">
      <c r="A24" s="3"/>
      <c r="B24" s="3"/>
      <c r="C24" s="3"/>
      <c r="D24" s="3"/>
      <c r="E24" s="3"/>
      <c r="F24" s="3"/>
      <c r="G24" s="3"/>
    </row>
    <row r="25" ht="15.75" customHeight="1">
      <c r="A25" s="3"/>
      <c r="B25" s="3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60.0"/>
    <col customWidth="1" min="4" max="4" width="20.0"/>
    <col customWidth="1" min="5" max="5" width="24.0"/>
    <col customWidth="1" min="6" max="6" width="10.0"/>
  </cols>
  <sheetData>
    <row r="1" ht="15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>
      <c r="A2" s="6" t="s">
        <v>8</v>
      </c>
      <c r="B2" s="6" t="s">
        <v>11</v>
      </c>
      <c r="C2" s="6" t="s">
        <v>12</v>
      </c>
      <c r="D2" s="6" t="s">
        <v>13</v>
      </c>
      <c r="E2" s="6" t="s">
        <v>15</v>
      </c>
      <c r="F2" s="6" t="s">
        <v>17</v>
      </c>
    </row>
    <row r="3">
      <c r="A3" s="6" t="s">
        <v>8</v>
      </c>
      <c r="B3" s="6" t="s">
        <v>20</v>
      </c>
      <c r="C3" s="6" t="s">
        <v>22</v>
      </c>
      <c r="D3" s="6" t="s">
        <v>24</v>
      </c>
      <c r="E3" s="6" t="s">
        <v>26</v>
      </c>
      <c r="F3" s="6" t="s">
        <v>17</v>
      </c>
    </row>
    <row r="4">
      <c r="A4" s="6" t="s">
        <v>8</v>
      </c>
      <c r="B4" s="6" t="s">
        <v>38</v>
      </c>
      <c r="C4" s="6" t="s">
        <v>40</v>
      </c>
      <c r="D4" s="6" t="s">
        <v>41</v>
      </c>
      <c r="E4" s="6" t="s">
        <v>45</v>
      </c>
      <c r="F4" s="6" t="s">
        <v>46</v>
      </c>
    </row>
    <row r="5">
      <c r="A5" s="6" t="s">
        <v>8</v>
      </c>
      <c r="B5" s="6" t="s">
        <v>51</v>
      </c>
      <c r="C5" s="6" t="s">
        <v>52</v>
      </c>
      <c r="D5" s="6" t="s">
        <v>53</v>
      </c>
      <c r="E5" s="6" t="s">
        <v>45</v>
      </c>
      <c r="F5" s="6" t="s">
        <v>17</v>
      </c>
    </row>
    <row r="6">
      <c r="A6" s="6" t="s">
        <v>8</v>
      </c>
      <c r="B6" s="6" t="s">
        <v>55</v>
      </c>
      <c r="C6" s="6" t="s">
        <v>56</v>
      </c>
      <c r="D6" s="6" t="s">
        <v>57</v>
      </c>
      <c r="E6" s="6" t="s">
        <v>60</v>
      </c>
      <c r="F6" s="6" t="s">
        <v>17</v>
      </c>
    </row>
    <row r="7">
      <c r="A7" s="6" t="s">
        <v>8</v>
      </c>
      <c r="B7" s="6" t="s">
        <v>62</v>
      </c>
      <c r="C7" s="6" t="s">
        <v>64</v>
      </c>
      <c r="D7" s="6" t="s">
        <v>41</v>
      </c>
      <c r="E7" s="6" t="s">
        <v>60</v>
      </c>
      <c r="F7" s="6" t="s">
        <v>17</v>
      </c>
    </row>
    <row r="8">
      <c r="A8" s="6" t="s">
        <v>68</v>
      </c>
      <c r="B8" s="6" t="s">
        <v>70</v>
      </c>
      <c r="C8" s="6" t="s">
        <v>72</v>
      </c>
      <c r="D8" s="6" t="s">
        <v>74</v>
      </c>
      <c r="E8" s="6" t="s">
        <v>26</v>
      </c>
      <c r="F8" s="6" t="s">
        <v>46</v>
      </c>
    </row>
    <row r="9">
      <c r="A9" s="6" t="s">
        <v>68</v>
      </c>
      <c r="B9" s="6" t="s">
        <v>76</v>
      </c>
      <c r="C9" s="6" t="s">
        <v>77</v>
      </c>
      <c r="D9" s="6" t="s">
        <v>78</v>
      </c>
      <c r="E9" s="6" t="s">
        <v>45</v>
      </c>
      <c r="F9" s="6" t="s">
        <v>46</v>
      </c>
    </row>
    <row r="10">
      <c r="A10" s="6" t="s">
        <v>68</v>
      </c>
      <c r="B10" s="6" t="s">
        <v>80</v>
      </c>
      <c r="C10" s="6" t="s">
        <v>81</v>
      </c>
      <c r="D10" s="6" t="s">
        <v>53</v>
      </c>
      <c r="E10" s="6" t="s">
        <v>45</v>
      </c>
      <c r="F10" s="6" t="s">
        <v>46</v>
      </c>
    </row>
    <row r="11">
      <c r="A11" s="6" t="s">
        <v>68</v>
      </c>
      <c r="B11" s="6" t="s">
        <v>83</v>
      </c>
      <c r="C11" s="6" t="s">
        <v>84</v>
      </c>
      <c r="D11" s="6" t="s">
        <v>85</v>
      </c>
      <c r="E11" s="6" t="s">
        <v>45</v>
      </c>
      <c r="F11" s="6" t="s">
        <v>46</v>
      </c>
    </row>
    <row r="12">
      <c r="A12" s="6" t="s">
        <v>68</v>
      </c>
      <c r="B12" s="6" t="s">
        <v>87</v>
      </c>
      <c r="C12" s="6" t="s">
        <v>88</v>
      </c>
      <c r="D12" s="6" t="s">
        <v>89</v>
      </c>
      <c r="E12" s="6" t="s">
        <v>26</v>
      </c>
      <c r="F12" s="6" t="s">
        <v>17</v>
      </c>
    </row>
    <row r="13">
      <c r="A13" s="6" t="s">
        <v>90</v>
      </c>
      <c r="B13" s="6" t="s">
        <v>91</v>
      </c>
      <c r="C13" s="6" t="s">
        <v>92</v>
      </c>
      <c r="D13" s="6" t="s">
        <v>93</v>
      </c>
      <c r="E13" s="6" t="s">
        <v>94</v>
      </c>
      <c r="F13" s="6" t="s">
        <v>95</v>
      </c>
    </row>
    <row r="14">
      <c r="A14" s="6" t="s">
        <v>90</v>
      </c>
      <c r="B14" s="6" t="s">
        <v>96</v>
      </c>
      <c r="C14" s="6" t="s">
        <v>97</v>
      </c>
      <c r="D14" s="6" t="s">
        <v>53</v>
      </c>
      <c r="E14" s="6" t="s">
        <v>45</v>
      </c>
      <c r="F14" s="6" t="s">
        <v>17</v>
      </c>
    </row>
    <row r="15">
      <c r="A15" s="6" t="s">
        <v>90</v>
      </c>
      <c r="B15" s="6" t="s">
        <v>98</v>
      </c>
      <c r="C15" s="6" t="s">
        <v>99</v>
      </c>
      <c r="D15" s="6" t="s">
        <v>100</v>
      </c>
      <c r="E15" s="6" t="s">
        <v>26</v>
      </c>
      <c r="F15" s="6" t="s">
        <v>17</v>
      </c>
    </row>
    <row r="16" ht="15.0" customHeight="1">
      <c r="A16" s="7"/>
      <c r="B16" s="7"/>
      <c r="C16" s="7"/>
      <c r="D16" s="7"/>
      <c r="E16" s="7"/>
      <c r="F16" s="7"/>
    </row>
    <row r="17" ht="15.0" customHeight="1">
      <c r="A17" s="13" t="s">
        <v>101</v>
      </c>
    </row>
    <row r="18" ht="15.0" customHeight="1">
      <c r="A18" s="13" t="s">
        <v>102</v>
      </c>
    </row>
    <row r="19" ht="15.0" customHeight="1">
      <c r="A19" s="13" t="s">
        <v>103</v>
      </c>
    </row>
    <row r="20" ht="15.0" customHeight="1">
      <c r="A20" s="7"/>
      <c r="B20" s="7"/>
      <c r="C20" s="7"/>
      <c r="D20" s="7"/>
      <c r="E20" s="7"/>
      <c r="F20" s="7"/>
    </row>
    <row r="21" ht="15.0" customHeight="1">
      <c r="A21" s="7"/>
      <c r="B21" s="7"/>
      <c r="C21" s="7"/>
      <c r="D21" s="7"/>
      <c r="E21" s="7"/>
      <c r="F21" s="7"/>
    </row>
    <row r="22" ht="15.0" customHeight="1">
      <c r="A22" s="7"/>
      <c r="B22" s="7"/>
      <c r="C22" s="7"/>
      <c r="D22" s="7"/>
      <c r="E22" s="7"/>
      <c r="F22" s="7"/>
    </row>
    <row r="23" ht="15.0" customHeight="1">
      <c r="A23" s="7"/>
      <c r="B23" s="7"/>
      <c r="C23" s="7"/>
      <c r="D23" s="7"/>
      <c r="E23" s="7"/>
      <c r="F23" s="7"/>
    </row>
    <row r="24" ht="15.0" customHeight="1">
      <c r="A24" s="7"/>
      <c r="B24" s="7"/>
      <c r="C24" s="7"/>
      <c r="D24" s="7"/>
      <c r="E24" s="7"/>
      <c r="F24" s="7"/>
    </row>
    <row r="25" ht="15.0" customHeight="1">
      <c r="A25" s="7"/>
      <c r="B25" s="7"/>
      <c r="C25" s="7"/>
      <c r="D25" s="7"/>
      <c r="E25" s="7"/>
      <c r="F25" s="7"/>
    </row>
    <row r="26" ht="15.0" customHeight="1">
      <c r="A26" s="3"/>
      <c r="B26" s="3"/>
      <c r="C26" s="3"/>
      <c r="D26" s="3"/>
      <c r="E26" s="3"/>
      <c r="F26" s="3"/>
    </row>
    <row r="27" ht="15.0" customHeight="1">
      <c r="A27" s="14"/>
      <c r="B27" s="3"/>
      <c r="C27" s="3"/>
      <c r="D27" s="3"/>
      <c r="E27" s="3"/>
      <c r="F27" s="3"/>
    </row>
    <row r="28" ht="15.0" customHeight="1">
      <c r="A28" s="3"/>
      <c r="B28" s="3"/>
      <c r="C28" s="3"/>
      <c r="D28" s="3"/>
      <c r="E28" s="3"/>
      <c r="F28" s="3"/>
    </row>
    <row r="29" ht="15.0" customHeight="1">
      <c r="A29" s="3"/>
      <c r="B29" s="3"/>
      <c r="C29" s="3"/>
      <c r="D29" s="3"/>
      <c r="E29" s="3"/>
      <c r="F29" s="3"/>
    </row>
    <row r="30" ht="15.0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7:F17"/>
    <mergeCell ref="A18:F18"/>
    <mergeCell ref="A19:F19"/>
  </mergeCells>
  <printOptions/>
  <pageMargins bottom="1.0" footer="0.0" header="0.0" left="0.75" right="0.75" top="1.0"/>
  <pageSetup paperSize="9" orientation="portrait"/>
  <drawing r:id="rId1"/>
</worksheet>
</file>