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Scales" sheetId="2" state="visible" r:id="rId4"/>
    <sheet name="Risk Registe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<sst xmlns="http://schemas.openxmlformats.org/spreadsheetml/2006/main" count="165" uniqueCount="131">
  <si>
    <t xml:space="preserve">Risk Assessment: Apex Financial Partners (Fictional Firm)</t>
  </si>
  <si>
    <t xml:space="preserve">Firm name:</t>
  </si>
  <si>
    <t xml:space="preserve">Apex Financial Partners</t>
  </si>
  <si>
    <t xml:space="preserve">Firm profile:</t>
  </si>
  <si>
    <t xml:space="preserve">30-person financial advisory and accounting firm. Manages client investment accounts and tax records and uses a client portal, cloud CRM and accounting software, and a shared drive.</t>
  </si>
  <si>
    <t xml:space="preserve">Method</t>
  </si>
  <si>
    <t xml:space="preserve">1. Identified 15 assets across data, systems, devices, network, people, and third parties</t>
  </si>
  <si>
    <t xml:space="preserve">2. Paired each asset with a threat and a firm-specific exposure</t>
  </si>
  <si>
    <t xml:space="preserve">3. Scored likelihood and impact on a 1-5 scale (score = likelihood x impact)</t>
  </si>
  <si>
    <t xml:space="preserve">4. Tagged each risk with a NIST CSF 2.0 function and a treatment decision</t>
  </si>
  <si>
    <t xml:space="preserve">5. Recommended a safeguard for each risk, citing CIS Controls v8 where it applies (process and physical controls are labeled)</t>
  </si>
  <si>
    <t xml:space="preserve">Summary (updates automatically)</t>
  </si>
  <si>
    <t xml:space="preserve">Risks scored</t>
  </si>
  <si>
    <t xml:space="preserve">Critical</t>
  </si>
  <si>
    <t xml:space="preserve">High</t>
  </si>
  <si>
    <t xml:space="preserve">Medium</t>
  </si>
  <si>
    <t xml:space="preserve">Low</t>
  </si>
  <si>
    <t xml:space="preserve">(Fictional firm. All scores are my own judgments for a hypothetical organization.)</t>
  </si>
  <si>
    <t xml:space="preserve">Scoring Scales and Rating Bands</t>
  </si>
  <si>
    <t xml:space="preserve">Likelihood (1-5)</t>
  </si>
  <si>
    <t xml:space="preserve">Rare</t>
  </si>
  <si>
    <t xml:space="preserve">Unlikely to happen in the next year</t>
  </si>
  <si>
    <t xml:space="preserve">Unlikely</t>
  </si>
  <si>
    <t xml:space="preserve">Could happen, but not expected</t>
  </si>
  <si>
    <t xml:space="preserve">Possible</t>
  </si>
  <si>
    <t xml:space="preserve">Might happen about once a year</t>
  </si>
  <si>
    <t xml:space="preserve">Likely</t>
  </si>
  <si>
    <t xml:space="preserve">Expected to happen more than once a year</t>
  </si>
  <si>
    <t xml:space="preserve">Almost certain</t>
  </si>
  <si>
    <t xml:space="preserve">Happening now or very frequently</t>
  </si>
  <si>
    <t xml:space="preserve">Impact (1-5)</t>
  </si>
  <si>
    <t xml:space="preserve">Minimal</t>
  </si>
  <si>
    <t xml:space="preserve">Minor inconvenience, no real loss</t>
  </si>
  <si>
    <t xml:space="preserve">Minor</t>
  </si>
  <si>
    <t xml:space="preserve">Short disruption, small cost</t>
  </si>
  <si>
    <t xml:space="preserve">Moderate</t>
  </si>
  <si>
    <t xml:space="preserve">Noticeable disruption or cost; some clients affected</t>
  </si>
  <si>
    <t xml:space="preserve">Major</t>
  </si>
  <si>
    <t xml:space="preserve">Serious disruption, large cost, or regulatory attention</t>
  </si>
  <si>
    <t xml:space="preserve">Severe</t>
  </si>
  <si>
    <t xml:space="preserve">Business-threatening: major data breach, long outage, lost clients</t>
  </si>
  <si>
    <t xml:space="preserve">Rating bands (Risk Score = Likelihood x Impact)</t>
  </si>
  <si>
    <t xml:space="preserve">Rating</t>
  </si>
  <si>
    <t xml:space="preserve">Highest score in band</t>
  </si>
  <si>
    <t xml:space="preserve">Assumption: band cutoffs (4 / 9 / 16 / 25) are a common 5x5 convention chosen as a starting point, not a standard. Edit the blue cells to change them; the register updates automatically.</t>
  </si>
  <si>
    <t xml:space="preserve">ID</t>
  </si>
  <si>
    <t xml:space="preserve">Asset</t>
  </si>
  <si>
    <t xml:space="preserve">Threat</t>
  </si>
  <si>
    <t xml:space="preserve">Why this firm is exposed</t>
  </si>
  <si>
    <t xml:space="preserve">Risk Score</t>
  </si>
  <si>
    <t xml:space="preserve">NIST CSF 2.0 Function</t>
  </si>
  <si>
    <t xml:space="preserve">Treatment</t>
  </si>
  <si>
    <t xml:space="preserve">Recommended control (CIS Controls v8 where it applies)</t>
  </si>
  <si>
    <t xml:space="preserve">R-01</t>
  </si>
  <si>
    <t xml:space="preserve">CRM, cloud accounting, and billing software</t>
  </si>
  <si>
    <t xml:space="preserve">Unauthorized access to client records and payment details</t>
  </si>
  <si>
    <t xml:space="preserve">Shared logins and accounts of former staff aren't removed </t>
  </si>
  <si>
    <t xml:space="preserve">Protect</t>
  </si>
  <si>
    <t xml:space="preserve">Mitigate</t>
  </si>
  <si>
    <t xml:space="preserve">CIS 5 Account Management: remove accounts at offboarding</t>
  </si>
  <si>
    <t xml:space="preserve">R-02</t>
  </si>
  <si>
    <t xml:space="preserve">Client personal and financial data</t>
  </si>
  <si>
    <t xml:space="preserve">Data breach and/or identity theft</t>
  </si>
  <si>
    <t xml:space="preserve">Stored in several places with no clear access limits </t>
  </si>
  <si>
    <t xml:space="preserve">CIS 3 Data Protection: encrypt data, limit access</t>
  </si>
  <si>
    <t xml:space="preserve">R-03</t>
  </si>
  <si>
    <t xml:space="preserve">Client portal </t>
  </si>
  <si>
    <t xml:space="preserve">Account takeover using stolen passwords &amp; credentials </t>
  </si>
  <si>
    <t xml:space="preserve">Clients log in with no MFA (Multi-factor Authentication) </t>
  </si>
  <si>
    <t xml:space="preserve">CIS 6 Access Control Management: require MFA</t>
  </si>
  <si>
    <t xml:space="preserve">R-04</t>
  </si>
  <si>
    <t xml:space="preserve">Email </t>
  </si>
  <si>
    <t xml:space="preserve">Phishing &amp; corporate email compromise </t>
  </si>
  <si>
    <t xml:space="preserve">Emails containing sensitive information. No phishing training </t>
  </si>
  <si>
    <t xml:space="preserve">CIS 9 Email and Web Browser Protections; CIS 14 Security Awareness and Skills Training: phishing training; CIS 6 Access Control Management: MFA on email</t>
  </si>
  <si>
    <t xml:space="preserve">R-05</t>
  </si>
  <si>
    <t xml:space="preserve">Payroll and HR systems </t>
  </si>
  <si>
    <t xml:space="preserve">Stolen SSNs, payroll fraud, direct deposit details </t>
  </si>
  <si>
    <t xml:space="preserve">Changes to bank details aren't verified by a second person </t>
  </si>
  <si>
    <t xml:space="preserve">Process control (outside CIS v8): second-person approval for bank detail changes</t>
  </si>
  <si>
    <t xml:space="preserve">R-06</t>
  </si>
  <si>
    <t xml:space="preserve">Advisor laptops and phones </t>
  </si>
  <si>
    <t xml:space="preserve">Theft or loss with client data on the device</t>
  </si>
  <si>
    <t xml:space="preserve">Disks lacking full encryption. Frequent travel or remote work. </t>
  </si>
  <si>
    <t xml:space="preserve">CIS 3 Data Protection: full-disk encryption</t>
  </si>
  <si>
    <t xml:space="preserve">R-07</t>
  </si>
  <si>
    <t xml:space="preserve">USB and external drives </t>
  </si>
  <si>
    <t xml:space="preserve">Data copied, stolen, or malware installed </t>
  </si>
  <si>
    <t xml:space="preserve">No policy controls on external media</t>
  </si>
  <si>
    <t xml:space="preserve">CIS 10 Malware Defenses: block removable media</t>
  </si>
  <si>
    <t xml:space="preserve">R-08</t>
  </si>
  <si>
    <t xml:space="preserve">Shared drive and backups </t>
  </si>
  <si>
    <t xml:space="preserve">Ransomware encrypts files and backups </t>
  </si>
  <si>
    <t xml:space="preserve">Backups are never tested or restored </t>
  </si>
  <si>
    <t xml:space="preserve">Recover</t>
  </si>
  <si>
    <t xml:space="preserve">CIS 11 Data Recovery: offline backups, test restores</t>
  </si>
  <si>
    <t xml:space="preserve">R-09</t>
  </si>
  <si>
    <t xml:space="preserve">VPN gateway </t>
  </si>
  <si>
    <t xml:space="preserve">Attackers exploit weak or vulnerable VPN, stolen credentials </t>
  </si>
  <si>
    <t xml:space="preserve">Remote access depends on a device that's rarely updated </t>
  </si>
  <si>
    <t xml:space="preserve">CIS 7 Continuous Vulnerability Management: patch on a schedule</t>
  </si>
  <si>
    <t xml:space="preserve">R-10</t>
  </si>
  <si>
    <t xml:space="preserve">Domain name and DNS </t>
  </si>
  <si>
    <t xml:space="preserve">Domain hijacking or email spoofing </t>
  </si>
  <si>
    <t xml:space="preserve">Lack of MFA, no email authentication records </t>
  </si>
  <si>
    <t xml:space="preserve">CIS 9 Email and Web Browser Protections: SPF/DKIM/DMARC; CIS 6 Access Control Management: registrar MFA</t>
  </si>
  <si>
    <t xml:space="preserve">R-11</t>
  </si>
  <si>
    <t xml:space="preserve">API keys and integration credentials </t>
  </si>
  <si>
    <t xml:space="preserve">A leaked key lets an attacker steal data or money </t>
  </si>
  <si>
    <t xml:space="preserve">Keys are never rotated </t>
  </si>
  <si>
    <t xml:space="preserve">CIS 5 Account Management: vault and rotate keys</t>
  </si>
  <si>
    <t xml:space="preserve">R-12</t>
  </si>
  <si>
    <t xml:space="preserve">MFA tokens and authentication apps </t>
  </si>
  <si>
    <t xml:space="preserve">SIM swap, stolen phone, phished codes </t>
  </si>
  <si>
    <t xml:space="preserve">SMS codes are used and there's no backup process</t>
  </si>
  <si>
    <t xml:space="preserve">CIS 6 Access Control Management: app-based MFA, backup codes</t>
  </si>
  <si>
    <t xml:space="preserve">R-13</t>
  </si>
  <si>
    <t xml:space="preserve">Keycard system and office cameras </t>
  </si>
  <si>
    <t xml:space="preserve">Unauthorized physical entry </t>
  </si>
  <si>
    <t xml:space="preserve">Fobs aren't deactivated when staff leave, footage is overwritten quickly. </t>
  </si>
  <si>
    <t xml:space="preserve">Physical control (outside CIS v8): deactivate fobs at offboarding</t>
  </si>
  <si>
    <t xml:space="preserve">R-14</t>
  </si>
  <si>
    <t xml:space="preserve">Corporate credit cards and banking credentials </t>
  </si>
  <si>
    <t xml:space="preserve">Fraud and unauthorized transfers </t>
  </si>
  <si>
    <t xml:space="preserve">Credentials saved in browsers or shared in email </t>
  </si>
  <si>
    <t xml:space="preserve">Process control (outside CIS v8): dual approval for payments; CIS 6 Access Control Management: MFA on banking, no saved logins</t>
  </si>
  <si>
    <t xml:space="preserve">R-15</t>
  </si>
  <si>
    <t xml:space="preserve">Paper records and shredding bins</t>
  </si>
  <si>
    <t xml:space="preserve">Sensitive information on thrown out or unshredded paper</t>
  </si>
  <si>
    <t xml:space="preserve">Bins sit in a hallway and cleaners have after-hours access</t>
  </si>
  <si>
    <t xml:space="preserve">CIS 3 Data Protection: locked bins, scheduled shredding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</si>
</sst>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D6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EDEDED"/>
        <bgColor rgb="FFFFF9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4B6B6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6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4B6B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0"/>
    <col collapsed="false" customWidth="true" hidden="false" outlineLevel="0" max="26" min="3" style="0" width="8.71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31.5" hidden="false" customHeight="true" outlineLevel="0" collapsed="false">
      <c r="A4" s="2" t="s">
        <v>3</v>
      </c>
      <c r="B4" s="4" t="s">
        <v>4</v>
      </c>
    </row>
    <row r="6" customFormat="false" ht="15" hidden="false" customHeight="false" outlineLevel="0" collapsed="false">
      <c r="A6" s="5" t="s">
        <v>5</v>
      </c>
    </row>
    <row r="7" customFormat="false" ht="30" hidden="false" customHeight="true" outlineLevel="0" collapsed="false">
      <c r="A7" s="6" t="s">
        <v>6</v>
      </c>
      <c r="B7" s="6"/>
    </row>
    <row r="8" customFormat="false" ht="30" hidden="false" customHeight="true" outlineLevel="0" collapsed="false">
      <c r="A8" s="6" t="s">
        <v>7</v>
      </c>
      <c r="B8" s="6"/>
    </row>
    <row r="9" customFormat="false" ht="30" hidden="false" customHeight="true" outlineLevel="0" collapsed="false">
      <c r="A9" s="6" t="s">
        <v>8</v>
      </c>
      <c r="B9" s="6"/>
    </row>
    <row r="10" customFormat="false" ht="30" hidden="false" customHeight="true" outlineLevel="0" collapsed="false">
      <c r="A10" s="6" t="s">
        <v>9</v>
      </c>
      <c r="B10" s="6"/>
    </row>
    <row r="11" customFormat="false" ht="30" hidden="false" customHeight="true" outlineLevel="0" collapsed="false">
      <c r="A11" s="6" t="s">
        <v>10</v>
      </c>
      <c r="B11" s="6"/>
    </row>
    <row r="12" customFormat="false" ht="30" hidden="false" customHeight="true" outlineLevel="0" collapsed="false">
      <c r="A12" s="6"/>
      <c r="B12" s="6"/>
    </row>
    <row r="13" customFormat="false" ht="15" hidden="false" customHeight="false" outlineLevel="0" collapsed="false">
      <c r="A13" s="5" t="s">
        <v>11</v>
      </c>
    </row>
    <row r="15" customFormat="false" ht="15" hidden="false" customHeight="false" outlineLevel="0" collapsed="false">
      <c r="A15" s="7" t="s">
        <v>12</v>
      </c>
      <c r="B15" s="7" t="n">
        <f aca="false">COUNT('Risk Register'!G4:G18)</f>
        <v>15</v>
      </c>
    </row>
    <row r="16" customFormat="false" ht="15.75" hidden="false" customHeight="true" outlineLevel="0" collapsed="false">
      <c r="A16" s="7" t="s">
        <v>13</v>
      </c>
      <c r="B16" s="7" t="n">
        <f aca="false">COUNTIF('Risk Register'!H4:H18,"Critical")</f>
        <v>2</v>
      </c>
    </row>
    <row r="17" customFormat="false" ht="15.75" hidden="false" customHeight="true" outlineLevel="0" collapsed="false">
      <c r="A17" s="7" t="s">
        <v>14</v>
      </c>
      <c r="B17" s="7" t="n">
        <f aca="false">COUNTIF('Risk Register'!H4:H18,"High")</f>
        <v>8</v>
      </c>
    </row>
    <row r="18" customFormat="false" ht="15.75" hidden="false" customHeight="true" outlineLevel="0" collapsed="false">
      <c r="A18" s="7" t="s">
        <v>15</v>
      </c>
      <c r="B18" s="7" t="n">
        <f aca="false">COUNTIF('Risk Register'!H4:H18,"Medium")</f>
        <v>5</v>
      </c>
    </row>
    <row r="19" customFormat="false" ht="15.75" hidden="false" customHeight="true" outlineLevel="0" collapsed="false">
      <c r="A19" s="7" t="s">
        <v>16</v>
      </c>
      <c r="B19" s="7" t="n">
        <f aca="false">COUNTIF('Risk Register'!H4:H18,"Low")</f>
        <v>0</v>
      </c>
    </row>
    <row r="20" customFormat="false" ht="15.75" hidden="false" customHeight="true" outlineLevel="0" collapsed="false">
      <c r="A20" s="8" t="s">
        <v>17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</sheetData>
  <mergeCells count="6">
    <mergeCell ref="A7:B7"/>
    <mergeCell ref="A8:B8"/>
    <mergeCell ref="A9:B9"/>
    <mergeCell ref="A10:B10"/>
    <mergeCell ref="A11:B11"/>
    <mergeCell ref="A12:B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62"/>
    <col collapsed="false" customWidth="true" hidden="false" outlineLevel="0" max="26" min="4" style="0" width="8.71"/>
  </cols>
  <sheetData>
    <row r="1" customFormat="false" ht="17.35" hidden="false" customHeight="false" outlineLevel="0" collapsed="false">
      <c r="A1" s="9" t="s">
        <v>18</v>
      </c>
    </row>
    <row r="3" customFormat="false" ht="15" hidden="false" customHeight="false" outlineLevel="0" collapsed="false">
      <c r="A3" s="2" t="s">
        <v>19</v>
      </c>
    </row>
    <row r="4" customFormat="false" ht="15" hidden="false" customHeight="false" outlineLevel="0" collapsed="false">
      <c r="A4" s="10" t="n">
        <v>1</v>
      </c>
      <c r="B4" s="10" t="s">
        <v>20</v>
      </c>
      <c r="C4" s="10" t="s">
        <v>21</v>
      </c>
    </row>
    <row r="5" customFormat="false" ht="15" hidden="false" customHeight="false" outlineLevel="0" collapsed="false">
      <c r="A5" s="10" t="n">
        <v>2</v>
      </c>
      <c r="B5" s="10" t="s">
        <v>22</v>
      </c>
      <c r="C5" s="10" t="s">
        <v>23</v>
      </c>
    </row>
    <row r="6" customFormat="false" ht="15" hidden="false" customHeight="false" outlineLevel="0" collapsed="false">
      <c r="A6" s="10" t="n">
        <v>3</v>
      </c>
      <c r="B6" s="10" t="s">
        <v>24</v>
      </c>
      <c r="C6" s="10" t="s">
        <v>25</v>
      </c>
    </row>
    <row r="7" customFormat="false" ht="15" hidden="false" customHeight="false" outlineLevel="0" collapsed="false">
      <c r="A7" s="10" t="n">
        <v>4</v>
      </c>
      <c r="B7" s="10" t="s">
        <v>26</v>
      </c>
      <c r="C7" s="10" t="s">
        <v>27</v>
      </c>
    </row>
    <row r="8" customFormat="false" ht="15" hidden="false" customHeight="false" outlineLevel="0" collapsed="false">
      <c r="A8" s="10" t="n">
        <v>5</v>
      </c>
      <c r="B8" s="10" t="s">
        <v>28</v>
      </c>
      <c r="C8" s="10" t="s">
        <v>29</v>
      </c>
    </row>
    <row r="10" customFormat="false" ht="15" hidden="false" customHeight="false" outlineLevel="0" collapsed="false">
      <c r="A10" s="2" t="s">
        <v>30</v>
      </c>
    </row>
    <row r="11" customFormat="false" ht="15" hidden="false" customHeight="false" outlineLevel="0" collapsed="false">
      <c r="A11" s="10" t="n">
        <v>1</v>
      </c>
      <c r="B11" s="10" t="s">
        <v>31</v>
      </c>
      <c r="C11" s="10" t="s">
        <v>32</v>
      </c>
    </row>
    <row r="12" customFormat="false" ht="15" hidden="false" customHeight="false" outlineLevel="0" collapsed="false">
      <c r="A12" s="10" t="n">
        <v>2</v>
      </c>
      <c r="B12" s="10" t="s">
        <v>33</v>
      </c>
      <c r="C12" s="10" t="s">
        <v>34</v>
      </c>
    </row>
    <row r="13" customFormat="false" ht="15" hidden="false" customHeight="false" outlineLevel="0" collapsed="false">
      <c r="A13" s="10" t="n">
        <v>3</v>
      </c>
      <c r="B13" s="10" t="s">
        <v>35</v>
      </c>
      <c r="C13" s="10" t="s">
        <v>36</v>
      </c>
    </row>
    <row r="14" customFormat="false" ht="15" hidden="false" customHeight="false" outlineLevel="0" collapsed="false">
      <c r="A14" s="10" t="n">
        <v>4</v>
      </c>
      <c r="B14" s="10" t="s">
        <v>37</v>
      </c>
      <c r="C14" s="10" t="s">
        <v>38</v>
      </c>
    </row>
    <row r="15" customFormat="false" ht="15" hidden="false" customHeight="false" outlineLevel="0" collapsed="false">
      <c r="A15" s="10" t="n">
        <v>5</v>
      </c>
      <c r="B15" s="10" t="s">
        <v>39</v>
      </c>
      <c r="C15" s="10" t="s">
        <v>40</v>
      </c>
    </row>
    <row r="17" customFormat="false" ht="15" hidden="false" customHeight="false" outlineLevel="0" collapsed="false">
      <c r="A17" s="2" t="s">
        <v>41</v>
      </c>
    </row>
    <row r="18" customFormat="false" ht="15" hidden="false" customHeight="false" outlineLevel="0" collapsed="false">
      <c r="A18" s="2" t="s">
        <v>42</v>
      </c>
      <c r="B18" s="2" t="s">
        <v>43</v>
      </c>
    </row>
    <row r="19" customFormat="false" ht="15" hidden="false" customHeight="false" outlineLevel="0" collapsed="false">
      <c r="A19" s="10" t="s">
        <v>16</v>
      </c>
      <c r="B19" s="11" t="n">
        <v>4</v>
      </c>
      <c r="C19" s="10"/>
    </row>
    <row r="20" customFormat="false" ht="15" hidden="false" customHeight="false" outlineLevel="0" collapsed="false">
      <c r="A20" s="10" t="s">
        <v>15</v>
      </c>
      <c r="B20" s="11" t="n">
        <v>9</v>
      </c>
      <c r="C20" s="10"/>
    </row>
    <row r="21" customFormat="false" ht="15.75" hidden="false" customHeight="true" outlineLevel="0" collapsed="false">
      <c r="A21" s="10" t="s">
        <v>14</v>
      </c>
      <c r="B21" s="11" t="n">
        <v>16</v>
      </c>
      <c r="C21" s="10"/>
    </row>
    <row r="22" customFormat="false" ht="15.75" hidden="false" customHeight="true" outlineLevel="0" collapsed="false">
      <c r="A22" s="10" t="s">
        <v>13</v>
      </c>
      <c r="B22" s="11" t="n">
        <v>25</v>
      </c>
      <c r="C22" s="10"/>
    </row>
    <row r="23" customFormat="false" ht="15.75" hidden="false" customHeight="true" outlineLevel="0" collapsed="false"/>
    <row r="24" customFormat="false" ht="39.75" hidden="false" customHeight="true" outlineLevel="0" collapsed="false">
      <c r="A24" s="12" t="s">
        <v>44</v>
      </c>
      <c r="B24" s="12"/>
      <c r="C24" s="12"/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4" activeCellId="0" sqref="C4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28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52"/>
    <col collapsed="false" customWidth="true" hidden="false" outlineLevel="0" max="25" min="12" style="0" width="8.71"/>
  </cols>
  <sheetData>
    <row r="1" customFormat="false" ht="17.35" hidden="false" customHeight="false" outlineLevel="0" collapsed="false">
      <c r="A1" s="9" t="str">
        <f aca="false">"Risk Register - "&amp;Overview!B3</f>
        <v>Risk Register - Apex Financial Partners</v>
      </c>
    </row>
    <row r="3" customFormat="false" ht="42" hidden="false" customHeight="true" outlineLevel="0" collapsed="false">
      <c r="A3" s="13" t="s">
        <v>45</v>
      </c>
      <c r="B3" s="13" t="s">
        <v>46</v>
      </c>
      <c r="C3" s="13" t="s">
        <v>47</v>
      </c>
      <c r="D3" s="13" t="s">
        <v>48</v>
      </c>
      <c r="E3" s="13" t="s">
        <v>19</v>
      </c>
      <c r="F3" s="13" t="s">
        <v>30</v>
      </c>
      <c r="G3" s="13" t="s">
        <v>49</v>
      </c>
      <c r="H3" s="13" t="s">
        <v>42</v>
      </c>
      <c r="I3" s="13" t="s">
        <v>50</v>
      </c>
      <c r="J3" s="13" t="s">
        <v>51</v>
      </c>
      <c r="K3" s="13" t="s">
        <v>52</v>
      </c>
    </row>
    <row r="4" customFormat="false" ht="45" hidden="false" customHeight="true" outlineLevel="0" collapsed="false">
      <c r="A4" s="14" t="s">
        <v>53</v>
      </c>
      <c r="B4" s="15" t="s">
        <v>54</v>
      </c>
      <c r="C4" s="15" t="s">
        <v>55</v>
      </c>
      <c r="D4" s="15" t="s">
        <v>56</v>
      </c>
      <c r="E4" s="16" t="n">
        <v>3</v>
      </c>
      <c r="F4" s="16" t="n">
        <v>4</v>
      </c>
      <c r="G4" s="14" t="n">
        <f aca="false">IF(AND(ISNUMBER(E4),ISNUMBER(F4)),E4*F4,"")</f>
        <v>12</v>
      </c>
      <c r="H4" s="14" t="str">
        <f aca="false">IF(G4="","",IF(G4&lt;=Scales!$B$19,Scales!$A$19,IF(G4&lt;=Scales!$B$20,Scales!$A$20,IF(G4&lt;=Scales!$B$21,Scales!$A$21,Scales!$A$22))))</f>
        <v>High</v>
      </c>
      <c r="I4" s="15" t="s">
        <v>57</v>
      </c>
      <c r="J4" s="15" t="s">
        <v>58</v>
      </c>
      <c r="K4" s="15" t="s">
        <v>59</v>
      </c>
    </row>
    <row r="5" customFormat="false" ht="45" hidden="false" customHeight="true" outlineLevel="0" collapsed="false">
      <c r="A5" s="14" t="s">
        <v>60</v>
      </c>
      <c r="B5" s="15" t="s">
        <v>61</v>
      </c>
      <c r="C5" s="15" t="s">
        <v>62</v>
      </c>
      <c r="D5" s="15" t="s">
        <v>63</v>
      </c>
      <c r="E5" s="16" t="n">
        <v>3</v>
      </c>
      <c r="F5" s="16" t="n">
        <v>5</v>
      </c>
      <c r="G5" s="14" t="n">
        <f aca="false">IF(AND(ISNUMBER(E5),ISNUMBER(F5)),E5*F5,"")</f>
        <v>15</v>
      </c>
      <c r="H5" s="14" t="str">
        <f aca="false">IF(G5="","",IF(G5&lt;=Scales!$B$19,Scales!$A$19,IF(G5&lt;=Scales!$B$20,Scales!$A$20,IF(G5&lt;=Scales!$B$21,Scales!$A$21,Scales!$A$22))))</f>
        <v>High</v>
      </c>
      <c r="I5" s="15" t="s">
        <v>57</v>
      </c>
      <c r="J5" s="15" t="s">
        <v>58</v>
      </c>
      <c r="K5" s="15" t="s">
        <v>64</v>
      </c>
    </row>
    <row r="6" customFormat="false" ht="45" hidden="false" customHeight="true" outlineLevel="0" collapsed="false">
      <c r="A6" s="14" t="s">
        <v>65</v>
      </c>
      <c r="B6" s="15" t="s">
        <v>66</v>
      </c>
      <c r="C6" s="15" t="s">
        <v>67</v>
      </c>
      <c r="D6" s="15" t="s">
        <v>68</v>
      </c>
      <c r="E6" s="16" t="n">
        <v>4</v>
      </c>
      <c r="F6" s="16" t="n">
        <v>4</v>
      </c>
      <c r="G6" s="14" t="n">
        <f aca="false">IF(AND(ISNUMBER(E6),ISNUMBER(F6)),E6*F6,"")</f>
        <v>16</v>
      </c>
      <c r="H6" s="14" t="str">
        <f aca="false">IF(G6="","",IF(G6&lt;=Scales!$B$19,Scales!$A$19,IF(G6&lt;=Scales!$B$20,Scales!$A$20,IF(G6&lt;=Scales!$B$21,Scales!$A$21,Scales!$A$22))))</f>
        <v>High</v>
      </c>
      <c r="I6" s="15" t="s">
        <v>57</v>
      </c>
      <c r="J6" s="15" t="s">
        <v>58</v>
      </c>
      <c r="K6" s="15" t="s">
        <v>69</v>
      </c>
    </row>
    <row r="7" customFormat="false" ht="57.75" hidden="false" customHeight="true" outlineLevel="0" collapsed="false">
      <c r="A7" s="14" t="s">
        <v>70</v>
      </c>
      <c r="B7" s="15" t="s">
        <v>71</v>
      </c>
      <c r="C7" s="15" t="s">
        <v>72</v>
      </c>
      <c r="D7" s="15" t="s">
        <v>73</v>
      </c>
      <c r="E7" s="16" t="n">
        <v>5</v>
      </c>
      <c r="F7" s="16" t="n">
        <v>4</v>
      </c>
      <c r="G7" s="14" t="n">
        <f aca="false">IF(AND(ISNUMBER(E7),ISNUMBER(F7)),E7*F7,"")</f>
        <v>20</v>
      </c>
      <c r="H7" s="14" t="str">
        <f aca="false">IF(G7="","",IF(G7&lt;=Scales!$B$19,Scales!$A$19,IF(G7&lt;=Scales!$B$20,Scales!$A$20,IF(G7&lt;=Scales!$B$21,Scales!$A$21,Scales!$A$22))))</f>
        <v>Critical</v>
      </c>
      <c r="I7" s="15" t="s">
        <v>57</v>
      </c>
      <c r="J7" s="15" t="s">
        <v>58</v>
      </c>
      <c r="K7" s="15" t="s">
        <v>74</v>
      </c>
    </row>
    <row r="8" customFormat="false" ht="45" hidden="false" customHeight="true" outlineLevel="0" collapsed="false">
      <c r="A8" s="14" t="s">
        <v>75</v>
      </c>
      <c r="B8" s="15" t="s">
        <v>76</v>
      </c>
      <c r="C8" s="15" t="s">
        <v>77</v>
      </c>
      <c r="D8" s="15" t="s">
        <v>78</v>
      </c>
      <c r="E8" s="16" t="n">
        <v>3</v>
      </c>
      <c r="F8" s="16" t="n">
        <v>4</v>
      </c>
      <c r="G8" s="14" t="n">
        <f aca="false">IF(AND(ISNUMBER(E8),ISNUMBER(F8)),E8*F8,"")</f>
        <v>12</v>
      </c>
      <c r="H8" s="14" t="str">
        <f aca="false">IF(G8="","",IF(G8&lt;=Scales!$B$19,Scales!$A$19,IF(G8&lt;=Scales!$B$20,Scales!$A$20,IF(G8&lt;=Scales!$B$21,Scales!$A$21,Scales!$A$22))))</f>
        <v>High</v>
      </c>
      <c r="I8" s="15" t="s">
        <v>57</v>
      </c>
      <c r="J8" s="15" t="s">
        <v>58</v>
      </c>
      <c r="K8" s="15" t="s">
        <v>79</v>
      </c>
    </row>
    <row r="9" customFormat="false" ht="45" hidden="false" customHeight="true" outlineLevel="0" collapsed="false">
      <c r="A9" s="14" t="s">
        <v>80</v>
      </c>
      <c r="B9" s="15" t="s">
        <v>81</v>
      </c>
      <c r="C9" s="15" t="s">
        <v>82</v>
      </c>
      <c r="D9" s="15" t="s">
        <v>83</v>
      </c>
      <c r="E9" s="16" t="n">
        <v>3</v>
      </c>
      <c r="F9" s="16" t="n">
        <v>4</v>
      </c>
      <c r="G9" s="14" t="n">
        <f aca="false">IF(AND(ISNUMBER(E9),ISNUMBER(F9)),E9*F9,"")</f>
        <v>12</v>
      </c>
      <c r="H9" s="14" t="str">
        <f aca="false">IF(G9="","",IF(G9&lt;=Scales!$B$19,Scales!$A$19,IF(G9&lt;=Scales!$B$20,Scales!$A$20,IF(G9&lt;=Scales!$B$21,Scales!$A$21,Scales!$A$22))))</f>
        <v>High</v>
      </c>
      <c r="I9" s="15" t="s">
        <v>57</v>
      </c>
      <c r="J9" s="15" t="s">
        <v>58</v>
      </c>
      <c r="K9" s="15" t="s">
        <v>84</v>
      </c>
    </row>
    <row r="10" customFormat="false" ht="45" hidden="false" customHeight="true" outlineLevel="0" collapsed="false">
      <c r="A10" s="14" t="s">
        <v>85</v>
      </c>
      <c r="B10" s="15" t="s">
        <v>86</v>
      </c>
      <c r="C10" s="15" t="s">
        <v>87</v>
      </c>
      <c r="D10" s="15" t="s">
        <v>88</v>
      </c>
      <c r="E10" s="16" t="n">
        <v>3</v>
      </c>
      <c r="F10" s="16" t="n">
        <v>3</v>
      </c>
      <c r="G10" s="14" t="n">
        <f aca="false">IF(AND(ISNUMBER(E10),ISNUMBER(F10)),E10*F10,"")</f>
        <v>9</v>
      </c>
      <c r="H10" s="14" t="str">
        <f aca="false">IF(G10="","",IF(G10&lt;=Scales!$B$19,Scales!$A$19,IF(G10&lt;=Scales!$B$20,Scales!$A$20,IF(G10&lt;=Scales!$B$21,Scales!$A$21,Scales!$A$22))))</f>
        <v>Medium</v>
      </c>
      <c r="I10" s="15" t="s">
        <v>57</v>
      </c>
      <c r="J10" s="15" t="s">
        <v>58</v>
      </c>
      <c r="K10" s="15" t="s">
        <v>89</v>
      </c>
    </row>
    <row r="11" customFormat="false" ht="45" hidden="false" customHeight="true" outlineLevel="0" collapsed="false">
      <c r="A11" s="14" t="s">
        <v>90</v>
      </c>
      <c r="B11" s="15" t="s">
        <v>91</v>
      </c>
      <c r="C11" s="15" t="s">
        <v>92</v>
      </c>
      <c r="D11" s="15" t="s">
        <v>93</v>
      </c>
      <c r="E11" s="16" t="n">
        <v>4</v>
      </c>
      <c r="F11" s="16" t="n">
        <v>5</v>
      </c>
      <c r="G11" s="14" t="n">
        <f aca="false">IF(AND(ISNUMBER(E11),ISNUMBER(F11)),E11*F11,"")</f>
        <v>20</v>
      </c>
      <c r="H11" s="14" t="str">
        <f aca="false">IF(G11="","",IF(G11&lt;=Scales!$B$19,Scales!$A$19,IF(G11&lt;=Scales!$B$20,Scales!$A$20,IF(G11&lt;=Scales!$B$21,Scales!$A$21,Scales!$A$22))))</f>
        <v>Critical</v>
      </c>
      <c r="I11" s="15" t="s">
        <v>94</v>
      </c>
      <c r="J11" s="15" t="s">
        <v>58</v>
      </c>
      <c r="K11" s="15" t="s">
        <v>95</v>
      </c>
    </row>
    <row r="12" customFormat="false" ht="45" hidden="false" customHeight="true" outlineLevel="0" collapsed="false">
      <c r="A12" s="14" t="s">
        <v>96</v>
      </c>
      <c r="B12" s="15" t="s">
        <v>97</v>
      </c>
      <c r="C12" s="15" t="s">
        <v>98</v>
      </c>
      <c r="D12" s="15" t="s">
        <v>99</v>
      </c>
      <c r="E12" s="16" t="n">
        <v>3</v>
      </c>
      <c r="F12" s="16" t="n">
        <v>4</v>
      </c>
      <c r="G12" s="14" t="n">
        <f aca="false">IF(AND(ISNUMBER(E12),ISNUMBER(F12)),E12*F12,"")</f>
        <v>12</v>
      </c>
      <c r="H12" s="14" t="str">
        <f aca="false">IF(G12="","",IF(G12&lt;=Scales!$B$19,Scales!$A$19,IF(G12&lt;=Scales!$B$20,Scales!$A$20,IF(G12&lt;=Scales!$B$21,Scales!$A$21,Scales!$A$22))))</f>
        <v>High</v>
      </c>
      <c r="I12" s="15" t="s">
        <v>57</v>
      </c>
      <c r="J12" s="15" t="s">
        <v>58</v>
      </c>
      <c r="K12" s="15" t="s">
        <v>100</v>
      </c>
    </row>
    <row r="13" customFormat="false" ht="45" hidden="false" customHeight="true" outlineLevel="0" collapsed="false">
      <c r="A13" s="14" t="s">
        <v>101</v>
      </c>
      <c r="B13" s="15" t="s">
        <v>102</v>
      </c>
      <c r="C13" s="15" t="s">
        <v>103</v>
      </c>
      <c r="D13" s="15" t="s">
        <v>104</v>
      </c>
      <c r="E13" s="16" t="n">
        <v>2</v>
      </c>
      <c r="F13" s="16" t="n">
        <v>4</v>
      </c>
      <c r="G13" s="14" t="n">
        <f aca="false">IF(AND(ISNUMBER(E13),ISNUMBER(F13)),E13*F13,"")</f>
        <v>8</v>
      </c>
      <c r="H13" s="14" t="str">
        <f aca="false">IF(G13="","",IF(G13&lt;=Scales!$B$19,Scales!$A$19,IF(G13&lt;=Scales!$B$20,Scales!$A$20,IF(G13&lt;=Scales!$B$21,Scales!$A$21,Scales!$A$22))))</f>
        <v>Medium</v>
      </c>
      <c r="I13" s="15" t="s">
        <v>57</v>
      </c>
      <c r="J13" s="15" t="s">
        <v>58</v>
      </c>
      <c r="K13" s="15" t="s">
        <v>105</v>
      </c>
    </row>
    <row r="14" customFormat="false" ht="45" hidden="false" customHeight="true" outlineLevel="0" collapsed="false">
      <c r="A14" s="14" t="s">
        <v>106</v>
      </c>
      <c r="B14" s="15" t="s">
        <v>107</v>
      </c>
      <c r="C14" s="15" t="s">
        <v>108</v>
      </c>
      <c r="D14" s="15" t="s">
        <v>109</v>
      </c>
      <c r="E14" s="16" t="n">
        <v>3</v>
      </c>
      <c r="F14" s="16" t="n">
        <v>4</v>
      </c>
      <c r="G14" s="14" t="n">
        <f aca="false">IF(AND(ISNUMBER(E14),ISNUMBER(F14)),E14*F14,"")</f>
        <v>12</v>
      </c>
      <c r="H14" s="14" t="str">
        <f aca="false">IF(G14="","",IF(G14&lt;=Scales!$B$19,Scales!$A$19,IF(G14&lt;=Scales!$B$20,Scales!$A$20,IF(G14&lt;=Scales!$B$21,Scales!$A$21,Scales!$A$22))))</f>
        <v>High</v>
      </c>
      <c r="I14" s="15" t="s">
        <v>57</v>
      </c>
      <c r="J14" s="15" t="s">
        <v>58</v>
      </c>
      <c r="K14" s="15" t="s">
        <v>110</v>
      </c>
    </row>
    <row r="15" customFormat="false" ht="45" hidden="false" customHeight="true" outlineLevel="0" collapsed="false">
      <c r="A15" s="14" t="s">
        <v>111</v>
      </c>
      <c r="B15" s="15" t="s">
        <v>112</v>
      </c>
      <c r="C15" s="15" t="s">
        <v>113</v>
      </c>
      <c r="D15" s="15" t="s">
        <v>114</v>
      </c>
      <c r="E15" s="16" t="n">
        <v>3</v>
      </c>
      <c r="F15" s="16" t="n">
        <v>3</v>
      </c>
      <c r="G15" s="14" t="n">
        <f aca="false">IF(AND(ISNUMBER(E15),ISNUMBER(F15)),E15*F15,"")</f>
        <v>9</v>
      </c>
      <c r="H15" s="14" t="str">
        <f aca="false">IF(G15="","",IF(G15&lt;=Scales!$B$19,Scales!$A$19,IF(G15&lt;=Scales!$B$20,Scales!$A$20,IF(G15&lt;=Scales!$B$21,Scales!$A$21,Scales!$A$22))))</f>
        <v>Medium</v>
      </c>
      <c r="I15" s="15" t="s">
        <v>57</v>
      </c>
      <c r="J15" s="15" t="s">
        <v>58</v>
      </c>
      <c r="K15" s="15" t="s">
        <v>115</v>
      </c>
    </row>
    <row r="16" customFormat="false" ht="45" hidden="false" customHeight="true" outlineLevel="0" collapsed="false">
      <c r="A16" s="14" t="s">
        <v>116</v>
      </c>
      <c r="B16" s="15" t="s">
        <v>117</v>
      </c>
      <c r="C16" s="15" t="s">
        <v>118</v>
      </c>
      <c r="D16" s="15" t="s">
        <v>119</v>
      </c>
      <c r="E16" s="16" t="n">
        <v>2</v>
      </c>
      <c r="F16" s="16" t="n">
        <v>3</v>
      </c>
      <c r="G16" s="14" t="n">
        <f aca="false">IF(AND(ISNUMBER(E16),ISNUMBER(F16)),E16*F16,"")</f>
        <v>6</v>
      </c>
      <c r="H16" s="14" t="str">
        <f aca="false">IF(G16="","",IF(G16&lt;=Scales!$B$19,Scales!$A$19,IF(G16&lt;=Scales!$B$20,Scales!$A$20,IF(G16&lt;=Scales!$B$21,Scales!$A$21,Scales!$A$22))))</f>
        <v>Medium</v>
      </c>
      <c r="I16" s="15" t="s">
        <v>57</v>
      </c>
      <c r="J16" s="15" t="s">
        <v>58</v>
      </c>
      <c r="K16" s="15" t="s">
        <v>120</v>
      </c>
    </row>
    <row r="17" customFormat="false" ht="57.75" hidden="false" customHeight="true" outlineLevel="0" collapsed="false">
      <c r="A17" s="14" t="s">
        <v>121</v>
      </c>
      <c r="B17" s="15" t="s">
        <v>122</v>
      </c>
      <c r="C17" s="15" t="s">
        <v>123</v>
      </c>
      <c r="D17" s="15" t="s">
        <v>124</v>
      </c>
      <c r="E17" s="16" t="n">
        <v>3</v>
      </c>
      <c r="F17" s="16" t="n">
        <v>5</v>
      </c>
      <c r="G17" s="14" t="n">
        <f aca="false">IF(AND(ISNUMBER(E17),ISNUMBER(F17)),E17*F17,"")</f>
        <v>15</v>
      </c>
      <c r="H17" s="14" t="str">
        <f aca="false">IF(G17="","",IF(G17&lt;=Scales!$B$19,Scales!$A$19,IF(G17&lt;=Scales!$B$20,Scales!$A$20,IF(G17&lt;=Scales!$B$21,Scales!$A$21,Scales!$A$22))))</f>
        <v>High</v>
      </c>
      <c r="I17" s="15" t="s">
        <v>57</v>
      </c>
      <c r="J17" s="15" t="s">
        <v>58</v>
      </c>
      <c r="K17" s="15" t="s">
        <v>125</v>
      </c>
    </row>
    <row r="18" customFormat="false" ht="45" hidden="false" customHeight="true" outlineLevel="0" collapsed="false">
      <c r="A18" s="14" t="s">
        <v>126</v>
      </c>
      <c r="B18" s="15" t="s">
        <v>127</v>
      </c>
      <c r="C18" s="15" t="s">
        <v>128</v>
      </c>
      <c r="D18" s="15" t="s">
        <v>129</v>
      </c>
      <c r="E18" s="16" t="n">
        <v>2</v>
      </c>
      <c r="F18" s="16" t="n">
        <v>3</v>
      </c>
      <c r="G18" s="14" t="n">
        <f aca="false">IF(AND(ISNUMBER(E18),ISNUMBER(F18)),E18*F18,"")</f>
        <v>6</v>
      </c>
      <c r="H18" s="14" t="str">
        <f aca="false">IF(G18="","",IF(G18&lt;=Scales!$B$19,Scales!$A$19,IF(G18&lt;=Scales!$B$20,Scales!$A$20,IF(G18&lt;=Scales!$B$21,Scales!$A$21,Scales!$A$22))))</f>
        <v>Medium</v>
      </c>
      <c r="I18" s="15" t="s">
        <v>57</v>
      </c>
      <c r="J18" s="15" t="s">
        <v>58</v>
      </c>
      <c r="K18" s="15" t="s">
        <v>130</v>
      </c>
    </row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</sheetData>
  <conditionalFormatting sqref="H4:H18">
    <cfRule type="cellIs" priority="2" operator="equal" aboveAverage="0" equalAverage="0" bottom="0" percent="0" rank="0" text="" dxfId="0">
      <formula>"Critical"</formula>
    </cfRule>
    <cfRule type="cellIs" priority="3" operator="equal" aboveAverage="0" equalAverage="0" bottom="0" percent="0" rank="0" text="" dxfId="1">
      <formula>"High"</formula>
    </cfRule>
    <cfRule type="cellIs" priority="4" operator="equal" aboveAverage="0" equalAverage="0" bottom="0" percent="0" rank="0" text="" dxfId="2">
      <formula>"Medium"</formula>
    </cfRule>
    <cfRule type="cellIs" priority="5" operator="equal" aboveAverage="0" equalAverage="0" bottom="0" percent="0" rank="0" text="" dxfId="3">
      <formula>"Low"</formula>
    </cfRule>
  </conditionalFormatting>
  <dataValidations count="3">
    <dataValidation allowBlank="true" errorStyle="stop" operator="between" prompt="Use 1 to 5 - Enter a whole number from 1 to 5 (see the Scales tab)." showDropDown="false" showErrorMessage="true" showInputMessage="true" sqref="E4:F18" type="decimal">
      <formula1>1</formula1>
      <formula2>5</formula2>
    </dataValidation>
    <dataValidation allowBlank="true" errorStyle="stop" operator="between" showDropDown="false" showErrorMessage="false" showInputMessage="false" sqref="J4:J18" type="list">
      <formula1>"Mitigate,Accept,Transfer,Avoid"</formula1>
      <formula2>0</formula2>
    </dataValidation>
    <dataValidation allowBlank="true" errorStyle="stop" operator="between" showDropDown="false" showErrorMessage="false" showInputMessage="false" sqref="I4:I18" type="list">
      <formula1>"Govern,Identify,Protect,Detect,Respond,Recover"</formula1>
      <formula2>0</formula2>
    </dataValidation>
  </dataValidations>
  <printOptions headings="false" gridLines="false" gridLinesSet="true" horizontalCentered="false" verticalCentered="false"/>
  <pageMargins left="1" right="0" top="0.75" bottom="0.75" header="0.511811023622047" footer="0.511811023622047"/>
  <pageSetup paperSize="5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2026-10-17T17:19:13Z</dcterms:created>
  <dc:creator>openpyxl</dc:creator>
  <dc:description/>
  <dc:language>en-US</dc:language>
  <cp:lastModifiedBy/>
  <dcterms:modified xsi:type="dcterms:W3CDTF">2026-10-17T17:19:13Z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