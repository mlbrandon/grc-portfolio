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cales" sheetId="2" r:id="rId6"/>
    <sheet state="visible" name="Risk Register" sheetId="3" r:id="rId7"/>
  </sheets>
  <definedNames/>
  <calcPr/>
</workbook>
</file>

<file path=xl/sharedStrings.xml><?xml version="1.0" encoding="utf-8"?>
<sst xmlns="http://schemas.openxmlformats.org/spreadsheetml/2006/main" count="165" uniqueCount="132">
  <si>
    <t>Risk Assessment: Apex Financial Partners (Fictional Firm)</t>
  </si>
  <si>
    <t>Scoring Scales and Rating Bands</t>
  </si>
  <si>
    <t>Likelihood (1-5)</t>
  </si>
  <si>
    <t>Firm name:</t>
  </si>
  <si>
    <t>Rare</t>
  </si>
  <si>
    <t>Apex Financial Partners</t>
  </si>
  <si>
    <t>Unlikely to happen in the next year</t>
  </si>
  <si>
    <t>Unlikely</t>
  </si>
  <si>
    <t>Could happen, but not expected</t>
  </si>
  <si>
    <t>Possible</t>
  </si>
  <si>
    <t>Might happen about once a year</t>
  </si>
  <si>
    <t>Firm profile:</t>
  </si>
  <si>
    <t>Likely</t>
  </si>
  <si>
    <t>30-person financial advisory and accounting firm. Manages client investment accounts and tax records and uses a client portal, cloud CRM and accounting software, and a shared drive.</t>
  </si>
  <si>
    <t>Expected to happen more than once a year</t>
  </si>
  <si>
    <t>Almost certain</t>
  </si>
  <si>
    <t>Method</t>
  </si>
  <si>
    <t>Happening now or very frequently</t>
  </si>
  <si>
    <t>1. Identified 15 assets across data, systems, devices, network, people, and third parties</t>
  </si>
  <si>
    <t>2. Paired each asset with a threat and a firm-specific exposure</t>
  </si>
  <si>
    <t>Impact (1-5)</t>
  </si>
  <si>
    <t>3. Scored likelihood and impact on a 1-5 scale (score = likelihood x impact)</t>
  </si>
  <si>
    <t>Minimal</t>
  </si>
  <si>
    <t>4. Tagged each risk with a NIST CSF 2.0 function and a treatment decision</t>
  </si>
  <si>
    <t>Minor inconvenience, no real loss</t>
  </si>
  <si>
    <t>5. Recommended a CIS Controls v8 safeguard for each risk</t>
  </si>
  <si>
    <t>Minor</t>
  </si>
  <si>
    <t>Short disruption, small cost</t>
  </si>
  <si>
    <t>Moderate</t>
  </si>
  <si>
    <t>Noticeable disruption or cost; some clients affected</t>
  </si>
  <si>
    <t>Summary (updates automatically)</t>
  </si>
  <si>
    <t>Major</t>
  </si>
  <si>
    <t>Serious disruption, large cost, or regulatory attention</t>
  </si>
  <si>
    <t>Risks scored</t>
  </si>
  <si>
    <t>Severe</t>
  </si>
  <si>
    <t>Business-threatening: major data breach, long outage, lost clients</t>
  </si>
  <si>
    <t>Rating bands (Risk Score = Likelihood x Impact)</t>
  </si>
  <si>
    <t>Rating</t>
  </si>
  <si>
    <t>Highest score in band</t>
  </si>
  <si>
    <t>Low</t>
  </si>
  <si>
    <t>Medium</t>
  </si>
  <si>
    <t>High</t>
  </si>
  <si>
    <t>Critical</t>
  </si>
  <si>
    <t>Assumption: band cutoffs (4 / 9 / 16 / 25) are a common 5x5 convention chosen as a starting point, not a standard. Edit the blue cells to change them; the register updates automatically.</t>
  </si>
  <si>
    <t>ID</t>
  </si>
  <si>
    <t>Asset</t>
  </si>
  <si>
    <t>Threat</t>
  </si>
  <si>
    <t>Why this firm is exposed</t>
  </si>
  <si>
    <t>Risk Score</t>
  </si>
  <si>
    <t>NIST CSF 2.0 Function</t>
  </si>
  <si>
    <t>Treatment</t>
  </si>
  <si>
    <t>Recommended control (CIS Controls v8)</t>
  </si>
  <si>
    <t>R-01</t>
  </si>
  <si>
    <t>CRM, cloud accounting, and billing software</t>
  </si>
  <si>
    <t>Unauthorized access to client records and payment details</t>
  </si>
  <si>
    <t xml:space="preserve">Shared logins and accounts of former staff aren't removed </t>
  </si>
  <si>
    <t>(Fictional firm. All scores are my own judgments for a hypothetical organization.)</t>
  </si>
  <si>
    <t>Govern</t>
  </si>
  <si>
    <t>Mitigate</t>
  </si>
  <si>
    <t>CIS 5: remove accounts on offboarding</t>
  </si>
  <si>
    <t>R-02</t>
  </si>
  <si>
    <t>Client personal and financial data</t>
  </si>
  <si>
    <t>Data breach and/or identity theft</t>
  </si>
  <si>
    <t xml:space="preserve">Stored in several places with no clear access limits </t>
  </si>
  <si>
    <t>Protect</t>
  </si>
  <si>
    <t>CIS 3 Data Protection: encrypt, limit access</t>
  </si>
  <si>
    <t>R-03</t>
  </si>
  <si>
    <t xml:space="preserve">Client portal </t>
  </si>
  <si>
    <t xml:space="preserve">Account takeover using stolen passwords &amp; credentials </t>
  </si>
  <si>
    <t xml:space="preserve">Clients log in with no MFA (Multi-factor Authentication) </t>
  </si>
  <si>
    <t>CIS 6 Access Control: require MFA</t>
  </si>
  <si>
    <t>R-04</t>
  </si>
  <si>
    <t xml:space="preserve">Email </t>
  </si>
  <si>
    <t xml:space="preserve">Phishing &amp; corporate email compromise </t>
  </si>
  <si>
    <t xml:space="preserve">Emails containing sensitive information. No phishing training </t>
  </si>
  <si>
    <t>CIS 9 Email Protections, CIS 14 phishing training</t>
  </si>
  <si>
    <t>R-05</t>
  </si>
  <si>
    <t xml:space="preserve">Payroll and HR systems </t>
  </si>
  <si>
    <t xml:space="preserve">Stolen SSNs, payroll fraud, direct deposit details </t>
  </si>
  <si>
    <t xml:space="preserve">Changes to bank details aren't verified by a second person </t>
  </si>
  <si>
    <t>CIS 6: second-person approval for bank changes</t>
  </si>
  <si>
    <t>R-06</t>
  </si>
  <si>
    <t xml:space="preserve">Advisor laptops and phones </t>
  </si>
  <si>
    <t>Theft or loss with client data on the device</t>
  </si>
  <si>
    <t xml:space="preserve">Disks lacking full encryption. Frequent travel or remote work. </t>
  </si>
  <si>
    <t>CIS 3: full-disk encryption</t>
  </si>
  <si>
    <t>R-07</t>
  </si>
  <si>
    <t xml:space="preserve">USB and external drives </t>
  </si>
  <si>
    <t xml:space="preserve">Data copied, stolen, or malware installed </t>
  </si>
  <si>
    <t>No policy controls on external media</t>
  </si>
  <si>
    <t>CIS 10 Malware Defenses: block removable media</t>
  </si>
  <si>
    <t>R-08</t>
  </si>
  <si>
    <t xml:space="preserve">Shared drive and backups </t>
  </si>
  <si>
    <t xml:space="preserve">Ransomware encrypts files and backups </t>
  </si>
  <si>
    <t xml:space="preserve">Backups are never tested or restored </t>
  </si>
  <si>
    <t>Recover</t>
  </si>
  <si>
    <t>CIS 11 Data Recovery: offline backups, test restores</t>
  </si>
  <si>
    <t>R-09</t>
  </si>
  <si>
    <t xml:space="preserve">VPN gateway </t>
  </si>
  <si>
    <t xml:space="preserve">Attackers exploit weak or vulnerable VPN, stolen credentials </t>
  </si>
  <si>
    <t xml:space="preserve">Remote access depends on a device that's rarely updated </t>
  </si>
  <si>
    <t>CIS 7 Vulnerability Mgmt: patch on a schedule</t>
  </si>
  <si>
    <t>R-10</t>
  </si>
  <si>
    <t xml:space="preserve">Domain name and DNS </t>
  </si>
  <si>
    <t xml:space="preserve">Domain hijacking or email spoofing </t>
  </si>
  <si>
    <t xml:space="preserve">Lack of MFA, no email authentication records </t>
  </si>
  <si>
    <t>CIS 9: SPF/DKIM/DMARC, registrar MFA</t>
  </si>
  <si>
    <t>R-11</t>
  </si>
  <si>
    <t xml:space="preserve">API keys and integration credentials </t>
  </si>
  <si>
    <t xml:space="preserve">A leaked key lets an attacker steal data or money </t>
  </si>
  <si>
    <t xml:space="preserve">Keys are never rotated </t>
  </si>
  <si>
    <t>CIS 5 Account Mgmt: vault and rotate keys</t>
  </si>
  <si>
    <t>R-12</t>
  </si>
  <si>
    <t xml:space="preserve">MFA tokens and authentication apps </t>
  </si>
  <si>
    <t xml:space="preserve">SIM swap, stolen phone, phished codes </t>
  </si>
  <si>
    <t>SMS codes are used and there's no backup process</t>
  </si>
  <si>
    <t>CIS 6: app-based MFA, backup codes</t>
  </si>
  <si>
    <t>R-13</t>
  </si>
  <si>
    <t xml:space="preserve">Keycard system and office cameras </t>
  </si>
  <si>
    <t xml:space="preserve">Unauthorized physical entry </t>
  </si>
  <si>
    <t xml:space="preserve">Fobs aren't deactivated when staff leave, footage is overwritten quickly. </t>
  </si>
  <si>
    <t>CIS 5: deactivate fobs at offboarding</t>
  </si>
  <si>
    <t>R-14</t>
  </si>
  <si>
    <t xml:space="preserve">Corporate credit cards and banking credentials </t>
  </si>
  <si>
    <t xml:space="preserve">Fraud and unauthorized transfers </t>
  </si>
  <si>
    <t xml:space="preserve">Credentials saved in browsers or shared in email </t>
  </si>
  <si>
    <t>CIS 6: dual approval, no saved logins</t>
  </si>
  <si>
    <t>R-15</t>
  </si>
  <si>
    <t>Paper records and shredding bins</t>
  </si>
  <si>
    <t>Sensitive information on thrown out or unshredded paper</t>
  </si>
  <si>
    <t>Bins sit in a hallway and cleaners have after-hours access</t>
  </si>
  <si>
    <t>CIS 3: locked bins, scheduled shredding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</si>
</sst>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000000"/>
      <name val="Arial"/>
    </font>
    <font>
      <b/>
      <sz val="16.0"/>
      <color rgb="FF000000"/>
      <name val="Arial"/>
    </font>
    <font>
      <b/>
      <sz val="10.0"/>
      <color rgb="FF000000"/>
      <name val="Arial"/>
    </font>
    <font>
      <sz val="11.0"/>
      <color theme="1"/>
      <name val="Calibri"/>
    </font>
    <font>
      <sz val="10.0"/>
      <color rgb="FF000000"/>
      <name val="Arial"/>
    </font>
    <font>
      <b/>
      <sz val="12.0"/>
      <color rgb="FF000000"/>
      <name val="Arial"/>
    </font>
    <font>
      <sz val="10.0"/>
      <color rgb="FF0000FF"/>
      <name val="Arial"/>
    </font>
    <font>
      <i/>
      <sz val="9.0"/>
      <color rgb="FF000000"/>
      <name val="Arial"/>
    </font>
    <font>
      <b/>
      <sz val="10.0"/>
      <color rgb="FFFFFFFF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9D6"/>
        <bgColor rgb="FFFFF9D6"/>
      </patternFill>
    </fill>
    <fill>
      <patternFill patternType="solid">
        <fgColor rgb="FF1F3864"/>
        <bgColor rgb="FF1F3864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2" fillId="3" fontId="9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shrinkToFit="0" vertical="top" wrapText="1"/>
    </xf>
    <xf borderId="2" fillId="2" fontId="5" numFmtId="0" xfId="0" applyAlignment="1" applyBorder="1" applyFill="1" applyFont="1">
      <alignment readingOrder="0" shrinkToFit="0" vertical="top" wrapText="1"/>
    </xf>
    <xf borderId="0" fillId="0" fontId="10" numFmtId="0" xfId="0" applyAlignment="1" applyFont="1">
      <alignment readingOrder="0"/>
    </xf>
    <xf borderId="2" fillId="2" fontId="5" numFmtId="0" xfId="0" applyAlignment="1" applyBorder="1" applyFill="1" applyFont="1">
      <alignment horizontal="center" readingOrder="0" shrinkToFit="0" vertical="top" wrapText="1"/>
    </xf>
    <xf borderId="2" fillId="2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B6B6"/>
          <bgColor rgb="FFF4B6B6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90.0"/>
    <col customWidth="1" min="3" max="26" width="8.71"/>
  </cols>
  <sheetData>
    <row r="1">
      <c r="A1" s="2" t="s">
        <v>0</v>
      </c>
    </row>
    <row r="3">
      <c r="A3" s="3" t="s">
        <v>3</v>
      </c>
      <c r="B3" s="5" t="s">
        <v>5</v>
      </c>
    </row>
    <row r="4" ht="31.5" customHeight="1">
      <c r="A4" s="3" t="s">
        <v>11</v>
      </c>
      <c r="B4" s="6" t="s">
        <v>13</v>
      </c>
    </row>
    <row r="6">
      <c r="A6" s="7" t="s">
        <v>16</v>
      </c>
    </row>
    <row r="7" ht="30.0" customHeight="1">
      <c r="A7" s="6" t="s">
        <v>18</v>
      </c>
    </row>
    <row r="8" ht="30.0" customHeight="1">
      <c r="A8" s="6" t="s">
        <v>19</v>
      </c>
    </row>
    <row r="9" ht="30.0" customHeight="1">
      <c r="A9" s="6" t="s">
        <v>21</v>
      </c>
    </row>
    <row r="10" ht="30.0" customHeight="1">
      <c r="A10" s="6" t="s">
        <v>23</v>
      </c>
    </row>
    <row r="11" ht="30.0" customHeight="1">
      <c r="A11" s="6" t="s">
        <v>25</v>
      </c>
    </row>
    <row r="12" ht="30.0" customHeight="1">
      <c r="A12" s="8"/>
    </row>
    <row r="13">
      <c r="A13" s="9" t="s">
        <v>30</v>
      </c>
    </row>
    <row r="15">
      <c r="A15" s="10" t="s">
        <v>33</v>
      </c>
      <c r="B15" s="10">
        <f>COUNT('Risk Register'!G4:G18)</f>
        <v>15</v>
      </c>
    </row>
    <row r="16" ht="15.75" customHeight="1">
      <c r="A16" s="10" t="s">
        <v>42</v>
      </c>
      <c r="B16" s="10">
        <f>COUNTIF('Risk Register'!H4:H18,"Critical")</f>
        <v>2</v>
      </c>
    </row>
    <row r="17" ht="15.75" customHeight="1">
      <c r="A17" s="10" t="s">
        <v>41</v>
      </c>
      <c r="B17" s="10">
        <f>COUNTIF('Risk Register'!H4:H18,"High")</f>
        <v>8</v>
      </c>
    </row>
    <row r="18" ht="15.75" customHeight="1">
      <c r="A18" s="10" t="s">
        <v>40</v>
      </c>
      <c r="B18" s="10">
        <f>COUNTIF('Risk Register'!H4:H18,"Medium")</f>
        <v>5</v>
      </c>
    </row>
    <row r="19" ht="15.75" customHeight="1">
      <c r="A19" s="10" t="s">
        <v>39</v>
      </c>
      <c r="B19" s="10">
        <f>COUNTIF('Risk Register'!H4:H18,"Low")</f>
        <v>0</v>
      </c>
    </row>
    <row r="20" ht="15.75" customHeight="1">
      <c r="A20" s="17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A7:B7"/>
    <mergeCell ref="A8:B8"/>
    <mergeCell ref="A9:B9"/>
    <mergeCell ref="A10:B10"/>
    <mergeCell ref="A11:B11"/>
    <mergeCell ref="A12:B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62.0"/>
    <col customWidth="1" min="4" max="26" width="8.71"/>
  </cols>
  <sheetData>
    <row r="1">
      <c r="A1" s="1" t="s">
        <v>1</v>
      </c>
    </row>
    <row r="3">
      <c r="A3" s="3" t="s">
        <v>2</v>
      </c>
    </row>
    <row r="4">
      <c r="A4" s="4">
        <v>1.0</v>
      </c>
      <c r="B4" s="4" t="s">
        <v>4</v>
      </c>
      <c r="C4" s="4" t="s">
        <v>6</v>
      </c>
    </row>
    <row r="5">
      <c r="A5" s="4">
        <v>2.0</v>
      </c>
      <c r="B5" s="4" t="s">
        <v>7</v>
      </c>
      <c r="C5" s="4" t="s">
        <v>8</v>
      </c>
    </row>
    <row r="6">
      <c r="A6" s="4">
        <v>3.0</v>
      </c>
      <c r="B6" s="4" t="s">
        <v>9</v>
      </c>
      <c r="C6" s="4" t="s">
        <v>10</v>
      </c>
    </row>
    <row r="7">
      <c r="A7" s="4">
        <v>4.0</v>
      </c>
      <c r="B7" s="4" t="s">
        <v>12</v>
      </c>
      <c r="C7" s="4" t="s">
        <v>14</v>
      </c>
    </row>
    <row r="8">
      <c r="A8" s="4">
        <v>5.0</v>
      </c>
      <c r="B8" s="4" t="s">
        <v>15</v>
      </c>
      <c r="C8" s="4" t="s">
        <v>17</v>
      </c>
    </row>
    <row r="10">
      <c r="A10" s="3" t="s">
        <v>20</v>
      </c>
    </row>
    <row r="11">
      <c r="A11" s="4">
        <v>1.0</v>
      </c>
      <c r="B11" s="4" t="s">
        <v>22</v>
      </c>
      <c r="C11" s="4" t="s">
        <v>24</v>
      </c>
    </row>
    <row r="12">
      <c r="A12" s="4">
        <v>2.0</v>
      </c>
      <c r="B12" s="4" t="s">
        <v>26</v>
      </c>
      <c r="C12" s="4" t="s">
        <v>27</v>
      </c>
    </row>
    <row r="13">
      <c r="A13" s="4">
        <v>3.0</v>
      </c>
      <c r="B13" s="4" t="s">
        <v>28</v>
      </c>
      <c r="C13" s="4" t="s">
        <v>29</v>
      </c>
    </row>
    <row r="14">
      <c r="A14" s="4">
        <v>4.0</v>
      </c>
      <c r="B14" s="4" t="s">
        <v>31</v>
      </c>
      <c r="C14" s="4" t="s">
        <v>32</v>
      </c>
    </row>
    <row r="15">
      <c r="A15" s="4">
        <v>5.0</v>
      </c>
      <c r="B15" s="4" t="s">
        <v>34</v>
      </c>
      <c r="C15" s="4" t="s">
        <v>35</v>
      </c>
    </row>
    <row r="17">
      <c r="A17" s="3" t="s">
        <v>36</v>
      </c>
    </row>
    <row r="18">
      <c r="A18" s="3" t="s">
        <v>37</v>
      </c>
      <c r="B18" s="3" t="s">
        <v>38</v>
      </c>
    </row>
    <row r="19">
      <c r="A19" s="4" t="s">
        <v>39</v>
      </c>
      <c r="B19" s="11">
        <v>4.0</v>
      </c>
      <c r="C19" s="4"/>
    </row>
    <row r="20">
      <c r="A20" s="4" t="s">
        <v>40</v>
      </c>
      <c r="B20" s="11">
        <v>9.0</v>
      </c>
      <c r="C20" s="4"/>
    </row>
    <row r="21" ht="15.75" customHeight="1">
      <c r="A21" s="4" t="s">
        <v>41</v>
      </c>
      <c r="B21" s="11">
        <v>16.0</v>
      </c>
      <c r="C21" s="4"/>
    </row>
    <row r="22" ht="15.75" customHeight="1">
      <c r="A22" s="4" t="s">
        <v>42</v>
      </c>
      <c r="B22" s="11">
        <v>25.0</v>
      </c>
      <c r="C22" s="4"/>
    </row>
    <row r="23" ht="15.75" customHeight="1"/>
    <row r="24" ht="39.75" customHeight="1">
      <c r="A24" s="12" t="s">
        <v>43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4:C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3" width="28.0"/>
    <col customWidth="1" min="4" max="4" width="34.0"/>
    <col customWidth="1" min="5" max="5" width="12.0"/>
    <col customWidth="1" min="6" max="7" width="10.0"/>
    <col customWidth="1" min="8" max="8" width="11.0"/>
    <col customWidth="1" min="9" max="9" width="16.0"/>
    <col customWidth="1" min="10" max="10" width="12.0"/>
    <col customWidth="1" min="11" max="11" width="40.0"/>
    <col customWidth="1" min="12" max="25" width="8.71"/>
  </cols>
  <sheetData>
    <row r="1">
      <c r="A1" s="1" t="str">
        <f>"Risk Register - "&amp;Overview!B3</f>
        <v>Risk Register - Apex Financial Partners</v>
      </c>
    </row>
    <row r="3" ht="42.0" customHeight="1">
      <c r="A3" s="13" t="s">
        <v>44</v>
      </c>
      <c r="B3" s="13" t="s">
        <v>45</v>
      </c>
      <c r="C3" s="13" t="s">
        <v>46</v>
      </c>
      <c r="D3" s="13" t="s">
        <v>47</v>
      </c>
      <c r="E3" s="13" t="s">
        <v>2</v>
      </c>
      <c r="F3" s="13" t="s">
        <v>20</v>
      </c>
      <c r="G3" s="13" t="s">
        <v>48</v>
      </c>
      <c r="H3" s="13" t="s">
        <v>37</v>
      </c>
      <c r="I3" s="13" t="s">
        <v>49</v>
      </c>
      <c r="J3" s="13" t="s">
        <v>50</v>
      </c>
      <c r="K3" s="14" t="s">
        <v>51</v>
      </c>
    </row>
    <row r="4" ht="45.0" customHeight="1">
      <c r="A4" s="15" t="s">
        <v>52</v>
      </c>
      <c r="B4" s="16" t="s">
        <v>53</v>
      </c>
      <c r="C4" s="16" t="s">
        <v>54</v>
      </c>
      <c r="D4" s="16" t="s">
        <v>55</v>
      </c>
      <c r="E4" s="18">
        <v>3.0</v>
      </c>
      <c r="F4" s="18">
        <v>4.0</v>
      </c>
      <c r="G4" s="15">
        <f t="shared" ref="G4:G18" si="1">IF(AND(ISNUMBER(E4),ISNUMBER(F4)),E4*F4,"")</f>
        <v>12</v>
      </c>
      <c r="H4" s="15" t="str">
        <f>IF(G4="","",IF(G4&lt;=Scales!$B$19,Scales!$A$19,IF(G4&lt;=Scales!$B$20,Scales!$A$20,IF(G4&lt;=Scales!$B$21,Scales!$A$21,Scales!$A$22))))</f>
        <v>High</v>
      </c>
      <c r="I4" s="16" t="s">
        <v>57</v>
      </c>
      <c r="J4" s="19" t="s">
        <v>58</v>
      </c>
      <c r="K4" s="16" t="s">
        <v>59</v>
      </c>
    </row>
    <row r="5" ht="45.0" customHeight="1">
      <c r="A5" s="15" t="s">
        <v>60</v>
      </c>
      <c r="B5" s="16" t="s">
        <v>61</v>
      </c>
      <c r="C5" s="16" t="s">
        <v>62</v>
      </c>
      <c r="D5" s="16" t="s">
        <v>63</v>
      </c>
      <c r="E5" s="18">
        <v>3.0</v>
      </c>
      <c r="F5" s="18">
        <v>5.0</v>
      </c>
      <c r="G5" s="15">
        <f t="shared" si="1"/>
        <v>15</v>
      </c>
      <c r="H5" s="15" t="str">
        <f>IF(G5="","",IF(G5&lt;=Scales!$B$19,Scales!$A$19,IF(G5&lt;=Scales!$B$20,Scales!$A$20,IF(G5&lt;=Scales!$B$21,Scales!$A$21,Scales!$A$22))))</f>
        <v>High</v>
      </c>
      <c r="I5" s="16" t="s">
        <v>64</v>
      </c>
      <c r="J5" s="16" t="s">
        <v>58</v>
      </c>
      <c r="K5" s="16" t="s">
        <v>65</v>
      </c>
    </row>
    <row r="6" ht="45.0" customHeight="1">
      <c r="A6" s="15" t="s">
        <v>66</v>
      </c>
      <c r="B6" s="16" t="s">
        <v>67</v>
      </c>
      <c r="C6" s="16" t="s">
        <v>68</v>
      </c>
      <c r="D6" s="16" t="s">
        <v>69</v>
      </c>
      <c r="E6" s="18">
        <v>4.0</v>
      </c>
      <c r="F6" s="18">
        <v>4.0</v>
      </c>
      <c r="G6" s="15">
        <f t="shared" si="1"/>
        <v>16</v>
      </c>
      <c r="H6" s="15" t="str">
        <f>IF(G6="","",IF(G6&lt;=Scales!$B$19,Scales!$A$19,IF(G6&lt;=Scales!$B$20,Scales!$A$20,IF(G6&lt;=Scales!$B$21,Scales!$A$21,Scales!$A$22))))</f>
        <v>High</v>
      </c>
      <c r="I6" s="16" t="s">
        <v>64</v>
      </c>
      <c r="J6" s="16" t="s">
        <v>58</v>
      </c>
      <c r="K6" s="16" t="s">
        <v>70</v>
      </c>
    </row>
    <row r="7" ht="45.0" customHeight="1">
      <c r="A7" s="15" t="s">
        <v>71</v>
      </c>
      <c r="B7" s="16" t="s">
        <v>72</v>
      </c>
      <c r="C7" s="16" t="s">
        <v>73</v>
      </c>
      <c r="D7" s="16" t="s">
        <v>74</v>
      </c>
      <c r="E7" s="18">
        <v>5.0</v>
      </c>
      <c r="F7" s="18">
        <v>4.0</v>
      </c>
      <c r="G7" s="15">
        <f t="shared" si="1"/>
        <v>20</v>
      </c>
      <c r="H7" s="15" t="str">
        <f>IF(G7="","",IF(G7&lt;=Scales!$B$19,Scales!$A$19,IF(G7&lt;=Scales!$B$20,Scales!$A$20,IF(G7&lt;=Scales!$B$21,Scales!$A$21,Scales!$A$22))))</f>
        <v>Critical</v>
      </c>
      <c r="I7" s="16" t="s">
        <v>64</v>
      </c>
      <c r="J7" s="16" t="s">
        <v>58</v>
      </c>
      <c r="K7" s="16" t="s">
        <v>75</v>
      </c>
    </row>
    <row r="8" ht="45.0" customHeight="1">
      <c r="A8" s="15" t="s">
        <v>76</v>
      </c>
      <c r="B8" s="16" t="s">
        <v>77</v>
      </c>
      <c r="C8" s="16" t="s">
        <v>78</v>
      </c>
      <c r="D8" s="16" t="s">
        <v>79</v>
      </c>
      <c r="E8" s="18">
        <v>3.0</v>
      </c>
      <c r="F8" s="18">
        <v>4.0</v>
      </c>
      <c r="G8" s="15">
        <f t="shared" si="1"/>
        <v>12</v>
      </c>
      <c r="H8" s="15" t="str">
        <f>IF(G8="","",IF(G8&lt;=Scales!$B$19,Scales!$A$19,IF(G8&lt;=Scales!$B$20,Scales!$A$20,IF(G8&lt;=Scales!$B$21,Scales!$A$21,Scales!$A$22))))</f>
        <v>High</v>
      </c>
      <c r="I8" s="16" t="s">
        <v>57</v>
      </c>
      <c r="J8" s="16" t="s">
        <v>58</v>
      </c>
      <c r="K8" s="16" t="s">
        <v>80</v>
      </c>
    </row>
    <row r="9" ht="45.0" customHeight="1">
      <c r="A9" s="15" t="s">
        <v>81</v>
      </c>
      <c r="B9" s="16" t="s">
        <v>82</v>
      </c>
      <c r="C9" s="16" t="s">
        <v>83</v>
      </c>
      <c r="D9" s="16" t="s">
        <v>84</v>
      </c>
      <c r="E9" s="18">
        <v>3.0</v>
      </c>
      <c r="F9" s="18">
        <v>4.0</v>
      </c>
      <c r="G9" s="15">
        <f t="shared" si="1"/>
        <v>12</v>
      </c>
      <c r="H9" s="15" t="str">
        <f>IF(G9="","",IF(G9&lt;=Scales!$B$19,Scales!$A$19,IF(G9&lt;=Scales!$B$20,Scales!$A$20,IF(G9&lt;=Scales!$B$21,Scales!$A$21,Scales!$A$22))))</f>
        <v>High</v>
      </c>
      <c r="I9" s="16" t="s">
        <v>64</v>
      </c>
      <c r="J9" s="16" t="s">
        <v>58</v>
      </c>
      <c r="K9" s="16" t="s">
        <v>85</v>
      </c>
    </row>
    <row r="10" ht="45.0" customHeight="1">
      <c r="A10" s="15" t="s">
        <v>86</v>
      </c>
      <c r="B10" s="16" t="s">
        <v>87</v>
      </c>
      <c r="C10" s="16" t="s">
        <v>88</v>
      </c>
      <c r="D10" s="16" t="s">
        <v>89</v>
      </c>
      <c r="E10" s="18">
        <v>3.0</v>
      </c>
      <c r="F10" s="18">
        <v>3.0</v>
      </c>
      <c r="G10" s="15">
        <f t="shared" si="1"/>
        <v>9</v>
      </c>
      <c r="H10" s="15" t="str">
        <f>IF(G10="","",IF(G10&lt;=Scales!$B$19,Scales!$A$19,IF(G10&lt;=Scales!$B$20,Scales!$A$20,IF(G10&lt;=Scales!$B$21,Scales!$A$21,Scales!$A$22))))</f>
        <v>Medium</v>
      </c>
      <c r="I10" s="16" t="s">
        <v>64</v>
      </c>
      <c r="J10" s="16" t="s">
        <v>58</v>
      </c>
      <c r="K10" s="16" t="s">
        <v>90</v>
      </c>
    </row>
    <row r="11" ht="45.0" customHeight="1">
      <c r="A11" s="15" t="s">
        <v>91</v>
      </c>
      <c r="B11" s="16" t="s">
        <v>92</v>
      </c>
      <c r="C11" s="16" t="s">
        <v>93</v>
      </c>
      <c r="D11" s="16" t="s">
        <v>94</v>
      </c>
      <c r="E11" s="18">
        <v>4.0</v>
      </c>
      <c r="F11" s="18">
        <v>5.0</v>
      </c>
      <c r="G11" s="15">
        <f t="shared" si="1"/>
        <v>20</v>
      </c>
      <c r="H11" s="15" t="str">
        <f>IF(G11="","",IF(G11&lt;=Scales!$B$19,Scales!$A$19,IF(G11&lt;=Scales!$B$20,Scales!$A$20,IF(G11&lt;=Scales!$B$21,Scales!$A$21,Scales!$A$22))))</f>
        <v>Critical</v>
      </c>
      <c r="I11" s="16" t="s">
        <v>95</v>
      </c>
      <c r="J11" s="16" t="s">
        <v>58</v>
      </c>
      <c r="K11" s="16" t="s">
        <v>96</v>
      </c>
    </row>
    <row r="12" ht="45.0" customHeight="1">
      <c r="A12" s="15" t="s">
        <v>97</v>
      </c>
      <c r="B12" s="16" t="s">
        <v>98</v>
      </c>
      <c r="C12" s="16" t="s">
        <v>99</v>
      </c>
      <c r="D12" s="16" t="s">
        <v>100</v>
      </c>
      <c r="E12" s="18">
        <v>3.0</v>
      </c>
      <c r="F12" s="18">
        <v>4.0</v>
      </c>
      <c r="G12" s="15">
        <f t="shared" si="1"/>
        <v>12</v>
      </c>
      <c r="H12" s="15" t="str">
        <f>IF(G12="","",IF(G12&lt;=Scales!$B$19,Scales!$A$19,IF(G12&lt;=Scales!$B$20,Scales!$A$20,IF(G12&lt;=Scales!$B$21,Scales!$A$21,Scales!$A$22))))</f>
        <v>High</v>
      </c>
      <c r="I12" s="16" t="s">
        <v>64</v>
      </c>
      <c r="J12" s="16" t="s">
        <v>58</v>
      </c>
      <c r="K12" s="16" t="s">
        <v>101</v>
      </c>
    </row>
    <row r="13" ht="45.0" customHeight="1">
      <c r="A13" s="15" t="s">
        <v>102</v>
      </c>
      <c r="B13" s="16" t="s">
        <v>103</v>
      </c>
      <c r="C13" s="16" t="s">
        <v>104</v>
      </c>
      <c r="D13" s="16" t="s">
        <v>105</v>
      </c>
      <c r="E13" s="18">
        <v>2.0</v>
      </c>
      <c r="F13" s="18">
        <v>4.0</v>
      </c>
      <c r="G13" s="15">
        <f t="shared" si="1"/>
        <v>8</v>
      </c>
      <c r="H13" s="15" t="str">
        <f>IF(G13="","",IF(G13&lt;=Scales!$B$19,Scales!$A$19,IF(G13&lt;=Scales!$B$20,Scales!$A$20,IF(G13&lt;=Scales!$B$21,Scales!$A$21,Scales!$A$22))))</f>
        <v>Medium</v>
      </c>
      <c r="I13" s="16" t="s">
        <v>64</v>
      </c>
      <c r="J13" s="16" t="s">
        <v>58</v>
      </c>
      <c r="K13" s="16" t="s">
        <v>106</v>
      </c>
    </row>
    <row r="14" ht="45.0" customHeight="1">
      <c r="A14" s="15" t="s">
        <v>107</v>
      </c>
      <c r="B14" s="16" t="s">
        <v>108</v>
      </c>
      <c r="C14" s="16" t="s">
        <v>109</v>
      </c>
      <c r="D14" s="16" t="s">
        <v>110</v>
      </c>
      <c r="E14" s="18">
        <v>3.0</v>
      </c>
      <c r="F14" s="18">
        <v>4.0</v>
      </c>
      <c r="G14" s="15">
        <f t="shared" si="1"/>
        <v>12</v>
      </c>
      <c r="H14" s="15" t="str">
        <f>IF(G14="","",IF(G14&lt;=Scales!$B$19,Scales!$A$19,IF(G14&lt;=Scales!$B$20,Scales!$A$20,IF(G14&lt;=Scales!$B$21,Scales!$A$21,Scales!$A$22))))</f>
        <v>High</v>
      </c>
      <c r="I14" s="16" t="s">
        <v>64</v>
      </c>
      <c r="J14" s="16" t="s">
        <v>58</v>
      </c>
      <c r="K14" s="16" t="s">
        <v>111</v>
      </c>
    </row>
    <row r="15" ht="45.0" customHeight="1">
      <c r="A15" s="15" t="s">
        <v>112</v>
      </c>
      <c r="B15" s="16" t="s">
        <v>113</v>
      </c>
      <c r="C15" s="16" t="s">
        <v>114</v>
      </c>
      <c r="D15" s="16" t="s">
        <v>115</v>
      </c>
      <c r="E15" s="18">
        <v>3.0</v>
      </c>
      <c r="F15" s="18">
        <v>3.0</v>
      </c>
      <c r="G15" s="15">
        <f t="shared" si="1"/>
        <v>9</v>
      </c>
      <c r="H15" s="15" t="str">
        <f>IF(G15="","",IF(G15&lt;=Scales!$B$19,Scales!$A$19,IF(G15&lt;=Scales!$B$20,Scales!$A$20,IF(G15&lt;=Scales!$B$21,Scales!$A$21,Scales!$A$22))))</f>
        <v>Medium</v>
      </c>
      <c r="I15" s="16" t="s">
        <v>64</v>
      </c>
      <c r="J15" s="16" t="s">
        <v>58</v>
      </c>
      <c r="K15" s="16" t="s">
        <v>116</v>
      </c>
    </row>
    <row r="16" ht="45.0" customHeight="1">
      <c r="A16" s="15" t="s">
        <v>117</v>
      </c>
      <c r="B16" s="16" t="s">
        <v>118</v>
      </c>
      <c r="C16" s="16" t="s">
        <v>119</v>
      </c>
      <c r="D16" s="16" t="s">
        <v>120</v>
      </c>
      <c r="E16" s="18">
        <v>2.0</v>
      </c>
      <c r="F16" s="18">
        <v>3.0</v>
      </c>
      <c r="G16" s="15">
        <f t="shared" si="1"/>
        <v>6</v>
      </c>
      <c r="H16" s="15" t="str">
        <f>IF(G16="","",IF(G16&lt;=Scales!$B$19,Scales!$A$19,IF(G16&lt;=Scales!$B$20,Scales!$A$20,IF(G16&lt;=Scales!$B$21,Scales!$A$21,Scales!$A$22))))</f>
        <v>Medium</v>
      </c>
      <c r="I16" s="16" t="s">
        <v>64</v>
      </c>
      <c r="J16" s="16" t="s">
        <v>58</v>
      </c>
      <c r="K16" s="16" t="s">
        <v>121</v>
      </c>
    </row>
    <row r="17" ht="45.0" customHeight="1">
      <c r="A17" s="15" t="s">
        <v>122</v>
      </c>
      <c r="B17" s="16" t="s">
        <v>123</v>
      </c>
      <c r="C17" s="16" t="s">
        <v>124</v>
      </c>
      <c r="D17" s="16" t="s">
        <v>125</v>
      </c>
      <c r="E17" s="18">
        <v>3.0</v>
      </c>
      <c r="F17" s="18">
        <v>5.0</v>
      </c>
      <c r="G17" s="15">
        <f t="shared" si="1"/>
        <v>15</v>
      </c>
      <c r="H17" s="15" t="str">
        <f>IF(G17="","",IF(G17&lt;=Scales!$B$19,Scales!$A$19,IF(G17&lt;=Scales!$B$20,Scales!$A$20,IF(G17&lt;=Scales!$B$21,Scales!$A$21,Scales!$A$22))))</f>
        <v>High</v>
      </c>
      <c r="I17" s="16" t="s">
        <v>64</v>
      </c>
      <c r="J17" s="16" t="s">
        <v>58</v>
      </c>
      <c r="K17" s="16" t="s">
        <v>126</v>
      </c>
    </row>
    <row r="18" ht="45.0" customHeight="1">
      <c r="A18" s="15" t="s">
        <v>127</v>
      </c>
      <c r="B18" s="16" t="s">
        <v>128</v>
      </c>
      <c r="C18" s="16" t="s">
        <v>129</v>
      </c>
      <c r="D18" s="16" t="s">
        <v>130</v>
      </c>
      <c r="E18" s="18">
        <v>2.0</v>
      </c>
      <c r="F18" s="18">
        <v>3.0</v>
      </c>
      <c r="G18" s="15">
        <f t="shared" si="1"/>
        <v>6</v>
      </c>
      <c r="H18" s="15" t="str">
        <f>IF(G18="","",IF(G18&lt;=Scales!$B$19,Scales!$A$19,IF(G18&lt;=Scales!$B$20,Scales!$A$20,IF(G18&lt;=Scales!$B$21,Scales!$A$21,Scales!$A$22))))</f>
        <v>Medium</v>
      </c>
      <c r="I18" s="16" t="s">
        <v>64</v>
      </c>
      <c r="J18" s="16" t="s">
        <v>58</v>
      </c>
      <c r="K18" s="16" t="s">
        <v>131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H4:H18">
    <cfRule type="cellIs" dxfId="0" priority="1" operator="equal">
      <formula>"Critical"</formula>
    </cfRule>
  </conditionalFormatting>
  <conditionalFormatting sqref="H4:H18">
    <cfRule type="cellIs" dxfId="1" priority="2" operator="equal">
      <formula>"High"</formula>
    </cfRule>
  </conditionalFormatting>
  <conditionalFormatting sqref="H4:H18">
    <cfRule type="cellIs" dxfId="2" priority="3" operator="equal">
      <formula>"Medium"</formula>
    </cfRule>
  </conditionalFormatting>
  <conditionalFormatting sqref="H4:H18">
    <cfRule type="cellIs" dxfId="3" priority="4" operator="equal">
      <formula>"Low"</formula>
    </cfRule>
  </conditionalFormatting>
  <dataValidations>
    <dataValidation type="decimal" allowBlank="1" showInputMessage="1" showErrorMessage="1" prompt="Use 1 to 5 - Enter a whole number from 1 to 5 (see the Scales tab)." sqref="E4:F18">
      <formula1>1.0</formula1>
      <formula2>5.0</formula2>
    </dataValidation>
    <dataValidation type="list" allowBlank="1" sqref="J4:J18">
      <formula1>"Mitigate,Accept,Transfer,Avoid"</formula1>
    </dataValidation>
    <dataValidation type="list" allowBlank="1" sqref="I4:I18">
      <formula1>"Govern,Identify,Protect,Detect,Respond,Recover"</formula1>
    </dataValidation>
  </dataValidations>
  <printOptions/>
  <pageMargins bottom="0.75" footer="0.0" header="0.0" left="1.0" right="0.0" top="0.75"/>
  <pageSetup paperSize="5" scale="80" orientation="landscape"/>
  <drawing r:id="rId1"/>
</worksheet>
</file>